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raising Roadmap" sheetId="1" r:id="rId4"/>
    <sheet state="visible" name="Token Allocation" sheetId="2" r:id="rId5"/>
    <sheet state="visible" name="Token Release Schedule" sheetId="3" r:id="rId6"/>
    <sheet state="visible" name="Nodes" sheetId="4" r:id="rId7"/>
    <sheet state="visible" name="Charts" sheetId="5" r:id="rId8"/>
    <sheet state="hidden" name="NodeSale" sheetId="6" r:id="rId9"/>
  </sheets>
  <definedNames/>
  <calcPr/>
</workbook>
</file>

<file path=xl/sharedStrings.xml><?xml version="1.0" encoding="utf-8"?>
<sst xmlns="http://schemas.openxmlformats.org/spreadsheetml/2006/main" count="160" uniqueCount="113">
  <si>
    <t>Instructions:</t>
  </si>
  <si>
    <t>Only Update cells in YELLOW.</t>
  </si>
  <si>
    <t>Total Supply</t>
  </si>
  <si>
    <t>$YMTA</t>
  </si>
  <si>
    <t>We can help updating the structure of the spreadsheet,
if more or less rounds are part of the Fundraising strategy</t>
  </si>
  <si>
    <t>Yamata Fundraising Roadmap</t>
  </si>
  <si>
    <t>Key Figures at a Glance</t>
  </si>
  <si>
    <t>Later</t>
  </si>
  <si>
    <t>Tokens</t>
  </si>
  <si>
    <t>$</t>
  </si>
  <si>
    <t>Token Allocation %</t>
  </si>
  <si>
    <t>Pre Sale</t>
  </si>
  <si>
    <t>Node Sale</t>
  </si>
  <si>
    <t>Public Sale</t>
  </si>
  <si>
    <t>Total Raise</t>
  </si>
  <si>
    <t>Instrument</t>
  </si>
  <si>
    <t>Equity + Token Warrant (1:1)</t>
  </si>
  <si>
    <t>NFTs</t>
  </si>
  <si>
    <t>Privately</t>
  </si>
  <si>
    <t>% Sold</t>
  </si>
  <si>
    <t>Publicly</t>
  </si>
  <si>
    <t>Price</t>
  </si>
  <si>
    <t>Price Delta</t>
  </si>
  <si>
    <t>-</t>
  </si>
  <si>
    <t>Multiple Analysis</t>
  </si>
  <si>
    <t>Nodes Sold</t>
  </si>
  <si>
    <t>PreSeed to Public</t>
  </si>
  <si>
    <t>Tokens Sold</t>
  </si>
  <si>
    <t>Equity Raise</t>
  </si>
  <si>
    <t>Node Raise</t>
  </si>
  <si>
    <t>Token Raise</t>
  </si>
  <si>
    <t>FDV Valuation</t>
  </si>
  <si>
    <t>Post-Money Valuation</t>
  </si>
  <si>
    <t>Vesting</t>
  </si>
  <si>
    <t>20 mo</t>
  </si>
  <si>
    <t>10 mo</t>
  </si>
  <si>
    <t>0 mo</t>
  </si>
  <si>
    <t>Cliff</t>
  </si>
  <si>
    <t>1 mo</t>
  </si>
  <si>
    <t>2 mo</t>
  </si>
  <si>
    <t>Private rounds</t>
  </si>
  <si>
    <t>% can be adjusted dynamically between rounds</t>
  </si>
  <si>
    <t>Discount</t>
  </si>
  <si>
    <t>Public Rounds</t>
  </si>
  <si>
    <t>Floor</t>
  </si>
  <si>
    <t>Ceiling</t>
  </si>
  <si>
    <t>Max Checks</t>
  </si>
  <si>
    <t>Avg Ticket</t>
  </si>
  <si>
    <t>Avg Checks</t>
  </si>
  <si>
    <t>Min Checks</t>
  </si>
  <si>
    <t xml:space="preserve"> </t>
  </si>
  <si>
    <t>Yamata - Token Allocation</t>
  </si>
  <si>
    <t>Tranche</t>
  </si>
  <si>
    <t xml:space="preserve">Allocation % </t>
  </si>
  <si>
    <t>% Unlocked at TGE</t>
  </si>
  <si>
    <t>Tokens unlckd at TGE</t>
  </si>
  <si>
    <t>Total Length</t>
  </si>
  <si>
    <t>Public</t>
  </si>
  <si>
    <t>Community</t>
  </si>
  <si>
    <t>Ecosystem</t>
  </si>
  <si>
    <t>Marketing &amp; Partnerships</t>
  </si>
  <si>
    <t>Validator Nodes (VD)</t>
  </si>
  <si>
    <t>Genesis Trader Program</t>
  </si>
  <si>
    <t>Early Stage &amp; Private Investments</t>
  </si>
  <si>
    <t>Liquidity</t>
  </si>
  <si>
    <t>Market Makers</t>
  </si>
  <si>
    <t>MM Incentive Program</t>
  </si>
  <si>
    <t>Team, Advisors, Reserve</t>
  </si>
  <si>
    <t>Foundation Reserve</t>
  </si>
  <si>
    <t>Advisors</t>
  </si>
  <si>
    <t>Core Team</t>
  </si>
  <si>
    <t>Total</t>
  </si>
  <si>
    <t>Yamata Token Release Schedule</t>
  </si>
  <si>
    <t>PRICE / MULTIPLE / CIRC MARKETCAP ANALYSIS</t>
  </si>
  <si>
    <t>TOTAL RELEASED</t>
  </si>
  <si>
    <t>EXTERNAL</t>
  </si>
  <si>
    <t>CIRC SUPPLY</t>
  </si>
  <si>
    <t>CIRC %</t>
  </si>
  <si>
    <t>TOTAL SUPPLY ADDED INTO CIRC %</t>
  </si>
  <si>
    <t>INFLATION %</t>
  </si>
  <si>
    <t>%</t>
  </si>
  <si>
    <t>MULTIPLE Public</t>
  </si>
  <si>
    <t>MULTIPLE Pre Sale</t>
  </si>
  <si>
    <t>Unlocked at TGE</t>
  </si>
  <si>
    <t>NODE DISTRIBUTION</t>
  </si>
  <si>
    <t>Total Nodes</t>
  </si>
  <si>
    <t>Supply for Rewards</t>
  </si>
  <si>
    <t>TIER</t>
  </si>
  <si>
    <t>ETH PRICE</t>
  </si>
  <si>
    <t>USD PRICE</t>
  </si>
  <si>
    <t>NODE QUANTITY</t>
  </si>
  <si>
    <t>CUMULATIVE NODES</t>
  </si>
  <si>
    <t>IMPLIED FDV (USD)</t>
  </si>
  <si>
    <t>NODE SALE AMOUNT (USD)</t>
  </si>
  <si>
    <t/>
  </si>
  <si>
    <t>Month</t>
  </si>
  <si>
    <t>Community Rewards, Marketing &amp; Partnerships</t>
  </si>
  <si>
    <t>Reserve</t>
  </si>
  <si>
    <t>Core Team &amp; Advisors</t>
  </si>
  <si>
    <t>Parameter</t>
  </si>
  <si>
    <t>Value</t>
  </si>
  <si>
    <t>Rewards % (unused)</t>
  </si>
  <si>
    <t>Num Tiers</t>
  </si>
  <si>
    <t>Base ETH Price</t>
  </si>
  <si>
    <t>Final ETH Price</t>
  </si>
  <si>
    <t>Base Node Qty</t>
  </si>
  <si>
    <t>ETH/USD Rate</t>
  </si>
  <si>
    <t>Price Growth Rate</t>
  </si>
  <si>
    <t>Node Decay Rate (seed)</t>
  </si>
  <si>
    <t>Total Revenue (USD)</t>
  </si>
  <si>
    <t>Total Nodes (sum of tiers)</t>
  </si>
  <si>
    <t>Note:</t>
  </si>
  <si>
    <t>B11 matches the JS priceGrowthRate formula. B12 is the seed decay rate; you can use Goal Seek/Solver to set B15 (Total Nodes) equal to B2 by changing B12.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</si>
</sst>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/&quot;yy"/>
    <numFmt numFmtId="165" formatCode="&quot;$&quot;#,##0"/>
    <numFmt numFmtId="166" formatCode="0.0%"/>
    <numFmt numFmtId="167" formatCode="&quot;$&quot;#,##0.0000"/>
    <numFmt numFmtId="168" formatCode="&quot;$&quot;#,##0.000"/>
    <numFmt numFmtId="169" formatCode="#,##0.0"/>
    <numFmt numFmtId="170" formatCode="0.000%"/>
    <numFmt numFmtId="171" formatCode="m/d/yy"/>
  </numFmts>
  <fonts count="33">
    <font>
      <sz val="10.0"/>
      <color rgb="FF000000"/>
      <name val="Arial"/>
      <scheme val="minor"/>
    </font>
    <font>
      <color rgb="FF000000"/>
      <name val="Arial"/>
    </font>
    <font>
      <color rgb="FFFFFFFF"/>
      <name val="Arial"/>
    </font>
    <font>
      <b/>
      <color rgb="FFFFFFFF"/>
      <name val="Arial"/>
    </font>
    <font>
      <b/>
      <color rgb="FF000000"/>
      <name val="Arial"/>
    </font>
    <font>
      <sz val="8.0"/>
      <color rgb="FFFFFFFF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rgb="FF434343"/>
      <name val="Arial"/>
    </font>
    <font>
      <sz val="6.0"/>
      <color rgb="FF434343"/>
      <name val="Arial"/>
    </font>
    <font>
      <sz val="9.0"/>
      <color rgb="FF434343"/>
      <name val="Arial"/>
    </font>
    <font>
      <sz val="9.0"/>
      <color rgb="FF434343"/>
      <name val="Arial"/>
      <scheme val="minor"/>
    </font>
    <font>
      <sz val="8.0"/>
      <color rgb="FF434343"/>
      <name val="Arial"/>
    </font>
    <font>
      <color rgb="FF434343"/>
      <name val="Arial"/>
    </font>
    <font>
      <color rgb="FF666666"/>
      <name val="Arial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666666"/>
      <name val="Arial"/>
      <scheme val="minor"/>
    </font>
    <font>
      <sz val="9.0"/>
      <color rgb="FF666666"/>
      <name val="Arial"/>
      <scheme val="minor"/>
    </font>
    <font>
      <b/>
      <sz val="10.0"/>
      <color rgb="FF000000"/>
      <name val="Inter"/>
    </font>
    <font>
      <b/>
      <sz val="9.0"/>
      <color rgb="FF434343"/>
      <name val="Arial"/>
      <scheme val="minor"/>
    </font>
    <font>
      <sz val="10.0"/>
      <color rgb="FF000000"/>
      <name val="Inter"/>
    </font>
    <font>
      <sz val="10.0"/>
      <color rgb="FF000000"/>
      <name val="Arial"/>
    </font>
    <font>
      <b/>
      <sz val="10.0"/>
      <color rgb="FF000000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  <font>
      <sz val="38.0"/>
      <color rgb="FF22253A"/>
      <name val="Anton"/>
    </font>
    <font>
      <color rgb="FFFFFFFF"/>
      <name val="Arial"/>
      <scheme val="minor"/>
    </font>
    <font>
      <b/>
      <sz val="9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22253A"/>
        <bgColor rgb="FF22253A"/>
      </patternFill>
    </fill>
    <fill>
      <patternFill patternType="solid">
        <fgColor rgb="FFB4A7D6"/>
        <bgColor rgb="FFB4A7D6"/>
      </patternFill>
    </fill>
    <fill>
      <patternFill patternType="solid">
        <fgColor rgb="FFF1FD8B"/>
        <bgColor rgb="FFF1FD8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9E6"/>
        <bgColor rgb="FFFFF9E6"/>
      </patternFill>
    </fill>
    <fill>
      <patternFill patternType="solid">
        <fgColor rgb="FFF9FECA"/>
        <bgColor rgb="FFF9FECA"/>
      </patternFill>
    </fill>
    <fill>
      <patternFill patternType="solid">
        <fgColor rgb="FFFFFAEB"/>
        <bgColor rgb="FFFFFAEB"/>
      </patternFill>
    </fill>
    <fill>
      <patternFill patternType="solid">
        <fgColor rgb="FFEEF7EB"/>
        <bgColor rgb="FFEEF7EB"/>
      </patternFill>
    </fill>
    <fill>
      <patternFill patternType="solid">
        <fgColor rgb="FFDCE7FB"/>
        <bgColor rgb="FFDCE7FB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202020"/>
        <bgColor rgb="FF202020"/>
      </patternFill>
    </fill>
    <fill>
      <patternFill patternType="solid">
        <fgColor rgb="FF5FA9A7"/>
        <bgColor rgb="FF5FA9A7"/>
      </patternFill>
    </fill>
    <fill>
      <patternFill patternType="solid">
        <fgColor rgb="FF282828"/>
        <bgColor rgb="FF282828"/>
      </patternFill>
    </fill>
    <fill>
      <patternFill patternType="solid">
        <fgColor rgb="FF4E4E4E"/>
        <bgColor rgb="FF4E4E4E"/>
      </patternFill>
    </fill>
  </fills>
  <borders count="1">
    <border/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2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4" fontId="1" numFmtId="3" xfId="0" applyAlignment="1" applyFill="1" applyFont="1" applyNumberFormat="1">
      <alignment horizontal="center" readingOrder="0" shrinkToFit="0" vertical="center" wrapText="0"/>
    </xf>
    <xf borderId="0" fillId="5" fontId="4" numFmtId="3" xfId="0" applyAlignment="1" applyFill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vertical="center"/>
    </xf>
    <xf borderId="0" fillId="2" fontId="5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readingOrder="0" vertical="center"/>
    </xf>
    <xf borderId="0" fillId="5" fontId="7" numFmtId="0" xfId="0" applyAlignment="1" applyFont="1">
      <alignment horizontal="center" vertical="center"/>
    </xf>
    <xf borderId="0" fillId="5" fontId="7" numFmtId="164" xfId="0" applyAlignment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5" fontId="8" numFmtId="0" xfId="0" applyAlignment="1" applyFont="1">
      <alignment horizontal="center" vertical="center"/>
    </xf>
    <xf borderId="0" fillId="5" fontId="9" numFmtId="0" xfId="0" applyAlignment="1" applyFont="1">
      <alignment horizontal="center" readingOrder="0" vertical="center"/>
    </xf>
    <xf borderId="0" fillId="6" fontId="10" numFmtId="0" xfId="0" applyAlignment="1" applyFill="1" applyFont="1">
      <alignment horizontal="center" vertical="center"/>
    </xf>
    <xf borderId="0" fillId="7" fontId="7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center"/>
    </xf>
    <xf borderId="0" fillId="7" fontId="7" numFmtId="0" xfId="0" applyAlignment="1" applyFont="1">
      <alignment horizontal="center" vertical="center"/>
    </xf>
    <xf borderId="0" fillId="5" fontId="4" numFmtId="0" xfId="0" applyAlignment="1" applyFont="1">
      <alignment horizontal="center" readingOrder="0" vertical="center"/>
    </xf>
    <xf borderId="0" fillId="5" fontId="11" numFmtId="3" xfId="0" applyAlignment="1" applyFont="1" applyNumberFormat="1">
      <alignment horizontal="center" vertical="center"/>
    </xf>
    <xf borderId="0" fillId="5" fontId="11" numFmtId="165" xfId="0" applyAlignment="1" applyFont="1" applyNumberFormat="1">
      <alignment horizontal="center" vertical="center"/>
    </xf>
    <xf borderId="0" fillId="5" fontId="11" numFmtId="166" xfId="0" applyAlignment="1" applyFont="1" applyNumberFormat="1">
      <alignment horizontal="center" vertical="center"/>
    </xf>
    <xf borderId="0" fillId="6" fontId="7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0" fillId="5" fontId="13" numFmtId="3" xfId="0" applyAlignment="1" applyFont="1" applyNumberFormat="1">
      <alignment horizontal="center" vertical="center"/>
    </xf>
    <xf borderId="0" fillId="5" fontId="13" numFmtId="165" xfId="0" applyAlignment="1" applyFont="1" applyNumberFormat="1">
      <alignment horizontal="center" vertical="center"/>
    </xf>
    <xf borderId="0" fillId="5" fontId="13" numFmtId="166" xfId="0" applyAlignment="1" applyFont="1" applyNumberFormat="1">
      <alignment horizontal="center" vertical="center"/>
    </xf>
    <xf borderId="0" fillId="6" fontId="7" numFmtId="0" xfId="0" applyAlignment="1" applyFont="1">
      <alignment horizontal="center" vertical="center"/>
    </xf>
    <xf borderId="0" fillId="4" fontId="13" numFmtId="9" xfId="0" applyAlignment="1" applyFont="1" applyNumberFormat="1">
      <alignment horizontal="center" readingOrder="0" vertical="center"/>
    </xf>
    <xf borderId="0" fillId="4" fontId="13" numFmtId="166" xfId="0" applyAlignment="1" applyFont="1" applyNumberFormat="1">
      <alignment horizontal="center" readingOrder="0" vertical="center"/>
    </xf>
    <xf borderId="0" fillId="4" fontId="13" numFmtId="167" xfId="0" applyAlignment="1" applyFont="1" applyNumberFormat="1">
      <alignment horizontal="center" readingOrder="0" vertical="center"/>
    </xf>
    <xf borderId="0" fillId="4" fontId="13" numFmtId="168" xfId="0" applyAlignment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0" fillId="5" fontId="13" numFmtId="10" xfId="0" applyAlignment="1" applyFont="1" applyNumberFormat="1">
      <alignment horizontal="center" vertical="center"/>
    </xf>
    <xf borderId="0" fillId="5" fontId="13" numFmtId="3" xfId="0" applyAlignment="1" applyFont="1" applyNumberFormat="1">
      <alignment horizontal="center" readingOrder="0" vertical="center"/>
    </xf>
    <xf borderId="0" fillId="5" fontId="13" numFmtId="169" xfId="0" applyAlignment="1" applyFont="1" applyNumberFormat="1">
      <alignment horizontal="center" vertical="center"/>
    </xf>
    <xf borderId="0" fillId="5" fontId="13" numFmtId="165" xfId="0" applyAlignment="1" applyFont="1" applyNumberFormat="1">
      <alignment horizontal="center" readingOrder="0" vertical="center"/>
    </xf>
    <xf borderId="0" fillId="5" fontId="13" numFmtId="49" xfId="0" applyAlignment="1" applyFont="1" applyNumberFormat="1">
      <alignment horizontal="center" readingOrder="0" vertical="center"/>
    </xf>
    <xf borderId="0" fillId="5" fontId="14" numFmtId="49" xfId="0" applyAlignment="1" applyFont="1" applyNumberFormat="1">
      <alignment horizontal="center" readingOrder="0" vertical="center"/>
    </xf>
    <xf borderId="0" fillId="5" fontId="15" numFmtId="0" xfId="0" applyAlignment="1" applyFont="1">
      <alignment horizontal="left" readingOrder="0" vertical="center"/>
    </xf>
    <xf borderId="0" fillId="5" fontId="16" numFmtId="0" xfId="0" applyAlignment="1" applyFont="1">
      <alignment horizontal="center" vertical="center"/>
    </xf>
    <xf borderId="0" fillId="5" fontId="14" numFmtId="10" xfId="0" applyAlignment="1" applyFont="1" applyNumberFormat="1">
      <alignment horizontal="center" vertical="center"/>
    </xf>
    <xf borderId="0" fillId="6" fontId="7" numFmtId="0" xfId="0" applyAlignment="1" applyFont="1">
      <alignment horizontal="center" vertical="center"/>
    </xf>
    <xf borderId="0" fillId="4" fontId="13" numFmtId="165" xfId="0" applyAlignment="1" applyFont="1" applyNumberFormat="1">
      <alignment horizontal="center" readingOrder="0" vertical="center"/>
    </xf>
    <xf borderId="0" fillId="9" fontId="10" numFmtId="0" xfId="0" applyAlignment="1" applyFill="1" applyFont="1">
      <alignment horizontal="center" vertical="center"/>
    </xf>
    <xf borderId="0" fillId="5" fontId="13" numFmtId="3" xfId="0" applyAlignment="1" applyFont="1" applyNumberFormat="1">
      <alignment horizontal="center" shrinkToFit="0" vertical="center" wrapText="1"/>
    </xf>
    <xf borderId="0" fillId="9" fontId="17" numFmtId="0" xfId="0" applyAlignment="1" applyFont="1">
      <alignment horizontal="center" vertical="center"/>
    </xf>
    <xf borderId="0" fillId="9" fontId="10" numFmtId="0" xfId="0" applyAlignment="1" applyFont="1">
      <alignment horizontal="center" vertical="center"/>
    </xf>
    <xf borderId="0" fillId="2" fontId="2" numFmtId="4" xfId="0" applyAlignment="1" applyFont="1" applyNumberFormat="1">
      <alignment vertical="center"/>
    </xf>
    <xf borderId="0" fillId="9" fontId="17" numFmtId="0" xfId="0" applyAlignment="1" applyFont="1">
      <alignment horizontal="center" vertical="center"/>
    </xf>
    <xf borderId="0" fillId="5" fontId="13" numFmtId="4" xfId="0" applyAlignment="1" applyFont="1" applyNumberFormat="1">
      <alignment horizontal="center" shrinkToFit="0" vertical="center" wrapText="1"/>
    </xf>
    <xf borderId="0" fillId="2" fontId="18" numFmtId="0" xfId="0" applyAlignment="1" applyFont="1">
      <alignment readingOrder="0"/>
    </xf>
    <xf borderId="0" fillId="2" fontId="18" numFmtId="0" xfId="0" applyFont="1"/>
    <xf borderId="0" fillId="2" fontId="18" numFmtId="166" xfId="0" applyFont="1" applyNumberFormat="1"/>
    <xf borderId="0" fillId="2" fontId="18" numFmtId="3" xfId="0" applyFont="1" applyNumberFormat="1"/>
    <xf borderId="0" fillId="2" fontId="18" numFmtId="9" xfId="0" applyFont="1" applyNumberFormat="1"/>
    <xf borderId="0" fillId="2" fontId="19" numFmtId="0" xfId="0" applyFont="1"/>
    <xf borderId="0" fillId="4" fontId="20" numFmtId="3" xfId="0" applyAlignment="1" applyFont="1" applyNumberFormat="1">
      <alignment horizontal="center" readingOrder="0"/>
    </xf>
    <xf borderId="0" fillId="6" fontId="21" numFmtId="3" xfId="0" applyAlignment="1" applyFont="1" applyNumberFormat="1">
      <alignment horizontal="center" readingOrder="0"/>
    </xf>
    <xf borderId="0" fillId="6" fontId="22" numFmtId="3" xfId="0" applyAlignment="1" applyFont="1" applyNumberFormat="1">
      <alignment horizontal="center" readingOrder="0"/>
    </xf>
    <xf borderId="0" fillId="6" fontId="20" numFmtId="0" xfId="0" applyAlignment="1" applyFont="1">
      <alignment horizontal="center" readingOrder="0" shrinkToFit="0" vertical="center" wrapText="1"/>
    </xf>
    <xf borderId="0" fillId="6" fontId="20" numFmtId="166" xfId="0" applyAlignment="1" applyFont="1" applyNumberFormat="1">
      <alignment horizontal="center" readingOrder="0" shrinkToFit="0" vertical="center" wrapText="1"/>
    </xf>
    <xf borderId="0" fillId="6" fontId="20" numFmtId="3" xfId="0" applyAlignment="1" applyFont="1" applyNumberFormat="1">
      <alignment horizontal="center" readingOrder="0" shrinkToFit="0" vertical="center" wrapText="1"/>
    </xf>
    <xf borderId="0" fillId="6" fontId="20" numFmtId="9" xfId="0" applyAlignment="1" applyFont="1" applyNumberFormat="1">
      <alignment horizontal="center" readingOrder="0" shrinkToFit="0" vertical="center" wrapText="1"/>
    </xf>
    <xf borderId="0" fillId="10" fontId="23" numFmtId="0" xfId="0" applyAlignment="1" applyFill="1" applyFont="1">
      <alignment horizontal="center" readingOrder="0" shrinkToFit="0" vertical="center" wrapText="1"/>
    </xf>
    <xf borderId="0" fillId="10" fontId="24" numFmtId="10" xfId="0" applyAlignment="1" applyFont="1" applyNumberFormat="1">
      <alignment horizontal="center" readingOrder="0" vertical="center"/>
    </xf>
    <xf borderId="0" fillId="10" fontId="14" numFmtId="3" xfId="0" applyAlignment="1" applyFont="1" applyNumberFormat="1">
      <alignment horizontal="center" readingOrder="0" vertical="center"/>
    </xf>
    <xf borderId="0" fillId="10" fontId="14" numFmtId="9" xfId="0" applyAlignment="1" applyFont="1" applyNumberFormat="1">
      <alignment horizontal="center" readingOrder="0" vertical="center"/>
    </xf>
    <xf borderId="0" fillId="6" fontId="25" numFmtId="0" xfId="0" applyAlignment="1" applyFont="1">
      <alignment horizontal="center" readingOrder="0" shrinkToFit="0" vertical="center" wrapText="1"/>
    </xf>
    <xf borderId="0" fillId="11" fontId="14" numFmtId="10" xfId="0" applyAlignment="1" applyFill="1" applyFont="1" applyNumberFormat="1">
      <alignment horizontal="center" readingOrder="0" vertical="center"/>
    </xf>
    <xf borderId="0" fillId="5" fontId="14" numFmtId="3" xfId="0" applyAlignment="1" applyFont="1" applyNumberFormat="1">
      <alignment horizontal="center" vertical="center"/>
    </xf>
    <xf borderId="0" fillId="5" fontId="14" numFmtId="9" xfId="0" applyAlignment="1" applyFont="1" applyNumberFormat="1">
      <alignment horizontal="center" readingOrder="0" vertical="center"/>
    </xf>
    <xf borderId="0" fillId="5" fontId="14" numFmtId="3" xfId="0" applyAlignment="1" applyFont="1" applyNumberFormat="1">
      <alignment horizontal="center" readingOrder="0" vertical="center"/>
    </xf>
    <xf borderId="0" fillId="10" fontId="14" numFmtId="10" xfId="0" applyAlignment="1" applyFont="1" applyNumberFormat="1">
      <alignment horizontal="center" readingOrder="0" vertical="center"/>
    </xf>
    <xf borderId="0" fillId="11" fontId="14" numFmtId="9" xfId="0" applyAlignment="1" applyFont="1" applyNumberFormat="1">
      <alignment horizontal="center" readingOrder="0" vertical="center"/>
    </xf>
    <xf borderId="0" fillId="11" fontId="14" numFmtId="3" xfId="0" applyAlignment="1" applyFont="1" applyNumberFormat="1">
      <alignment horizontal="center" readingOrder="0" vertical="center"/>
    </xf>
    <xf borderId="0" fillId="6" fontId="26" numFmtId="0" xfId="0" applyAlignment="1" applyFont="1">
      <alignment horizontal="center" readingOrder="0" shrinkToFit="0" vertical="center" wrapText="0"/>
    </xf>
    <xf borderId="0" fillId="12" fontId="24" numFmtId="10" xfId="0" applyAlignment="1" applyFill="1" applyFont="1" applyNumberFormat="1">
      <alignment horizontal="center" readingOrder="0" vertical="center"/>
    </xf>
    <xf borderId="0" fillId="12" fontId="14" numFmtId="3" xfId="0" applyAlignment="1" applyFont="1" applyNumberFormat="1">
      <alignment horizontal="center" vertical="center"/>
    </xf>
    <xf borderId="0" fillId="12" fontId="14" numFmtId="9" xfId="0" applyAlignment="1" applyFont="1" applyNumberFormat="1">
      <alignment horizontal="center" readingOrder="0" vertical="center"/>
    </xf>
    <xf borderId="0" fillId="12" fontId="14" numFmtId="3" xfId="0" applyAlignment="1" applyFont="1" applyNumberFormat="1">
      <alignment horizontal="center" readingOrder="0" vertical="center"/>
    </xf>
    <xf borderId="0" fillId="2" fontId="19" numFmtId="0" xfId="0" applyAlignment="1" applyFont="1">
      <alignment readingOrder="0"/>
    </xf>
    <xf borderId="0" fillId="10" fontId="14" numFmtId="3" xfId="0" applyAlignment="1" applyFont="1" applyNumberFormat="1">
      <alignment horizontal="center" vertical="center"/>
    </xf>
    <xf borderId="0" fillId="10" fontId="14" numFmtId="166" xfId="0" applyAlignment="1" applyFont="1" applyNumberFormat="1">
      <alignment horizontal="center" vertical="center"/>
    </xf>
    <xf borderId="0" fillId="5" fontId="27" numFmtId="0" xfId="0" applyAlignment="1" applyFont="1">
      <alignment horizontal="center" readingOrder="0" shrinkToFit="0" wrapText="1"/>
    </xf>
    <xf borderId="0" fillId="5" fontId="14" numFmtId="10" xfId="0" applyAlignment="1" applyFont="1" applyNumberFormat="1">
      <alignment horizontal="center"/>
    </xf>
    <xf borderId="0" fillId="5" fontId="14" numFmtId="3" xfId="0" applyAlignment="1" applyFont="1" applyNumberFormat="1">
      <alignment horizontal="center"/>
    </xf>
    <xf borderId="0" fillId="5" fontId="14" numFmtId="170" xfId="0" applyAlignment="1" applyFont="1" applyNumberFormat="1">
      <alignment horizontal="center" readingOrder="0"/>
    </xf>
    <xf borderId="0" fillId="5" fontId="14" numFmtId="3" xfId="0" applyFont="1" applyNumberFormat="1"/>
    <xf borderId="0" fillId="2" fontId="18" numFmtId="3" xfId="0" applyAlignment="1" applyFont="1" applyNumberFormat="1">
      <alignment readingOrder="0"/>
    </xf>
    <xf borderId="0" fillId="2" fontId="28" numFmtId="0" xfId="0" applyFont="1"/>
    <xf borderId="0" fillId="3" fontId="6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/>
    </xf>
    <xf borderId="0" fillId="2" fontId="8" numFmtId="0" xfId="0" applyAlignment="1" applyFont="1">
      <alignment horizontal="center"/>
    </xf>
    <xf borderId="0" fillId="2" fontId="29" numFmtId="0" xfId="0" applyFont="1"/>
    <xf borderId="0" fillId="12" fontId="9" numFmtId="0" xfId="0" applyAlignment="1" applyFont="1">
      <alignment horizontal="center"/>
    </xf>
    <xf borderId="0" fillId="13" fontId="20" numFmtId="0" xfId="0" applyAlignment="1" applyFill="1" applyFont="1">
      <alignment horizontal="center" readingOrder="0" shrinkToFit="0" vertical="center" wrapText="1"/>
    </xf>
    <xf borderId="0" fillId="12" fontId="20" numFmtId="0" xfId="0" applyAlignment="1" applyFont="1">
      <alignment horizontal="center" readingOrder="0" shrinkToFit="0" vertical="center" wrapText="1"/>
    </xf>
    <xf borderId="0" fillId="11" fontId="20" numFmtId="0" xfId="0" applyAlignment="1" applyFont="1">
      <alignment horizontal="center" readingOrder="0" shrinkToFit="0" vertical="center" wrapText="1"/>
    </xf>
    <xf borderId="0" fillId="12" fontId="20" numFmtId="10" xfId="0" applyAlignment="1" applyFont="1" applyNumberFormat="1">
      <alignment horizontal="center" shrinkToFit="0" wrapText="1"/>
    </xf>
    <xf borderId="0" fillId="14" fontId="20" numFmtId="0" xfId="0" applyAlignment="1" applyFill="1" applyFont="1">
      <alignment horizontal="center" readingOrder="0" vertical="center"/>
    </xf>
    <xf borderId="0" fillId="14" fontId="20" numFmtId="0" xfId="0" applyAlignment="1" applyFont="1">
      <alignment horizontal="center" readingOrder="0" shrinkToFit="0" vertical="center" wrapText="1"/>
    </xf>
    <xf borderId="0" fillId="5" fontId="20" numFmtId="168" xfId="0" applyAlignment="1" applyFont="1" applyNumberFormat="1">
      <alignment horizontal="center" readingOrder="0" vertical="center"/>
    </xf>
    <xf borderId="0" fillId="2" fontId="9" numFmtId="0" xfId="0" applyAlignment="1" applyFont="1">
      <alignment horizontal="center"/>
    </xf>
    <xf borderId="0" fillId="13" fontId="9" numFmtId="0" xfId="0" applyAlignment="1" applyFont="1">
      <alignment horizontal="center" readingOrder="0"/>
    </xf>
    <xf borderId="0" fillId="13" fontId="19" numFmtId="10" xfId="0" applyAlignment="1" applyFont="1" applyNumberFormat="1">
      <alignment horizontal="center" readingOrder="0"/>
    </xf>
    <xf borderId="0" fillId="13" fontId="19" numFmtId="10" xfId="0" applyAlignment="1" applyFont="1" applyNumberFormat="1">
      <alignment horizontal="center" shrinkToFit="0" wrapText="1"/>
    </xf>
    <xf borderId="0" fillId="2" fontId="20" numFmtId="0" xfId="0" applyAlignment="1" applyFont="1">
      <alignment horizontal="center" readingOrder="0"/>
    </xf>
    <xf borderId="0" fillId="2" fontId="19" numFmtId="0" xfId="0" applyAlignment="1" applyFont="1">
      <alignment horizontal="center" readingOrder="0"/>
    </xf>
    <xf borderId="0" fillId="4" fontId="20" numFmtId="0" xfId="0" applyAlignment="1" applyFont="1">
      <alignment horizontal="center" readingOrder="0"/>
    </xf>
    <xf borderId="0" fillId="5" fontId="19" numFmtId="0" xfId="0" applyAlignment="1" applyFont="1">
      <alignment horizontal="center" readingOrder="0"/>
    </xf>
    <xf borderId="0" fillId="13" fontId="19" numFmtId="3" xfId="0" applyAlignment="1" applyFont="1" applyNumberFormat="1">
      <alignment horizontal="center"/>
    </xf>
    <xf borderId="0" fillId="15" fontId="20" numFmtId="0" xfId="0" applyAlignment="1" applyFill="1" applyFont="1">
      <alignment horizontal="center" readingOrder="0"/>
    </xf>
    <xf borderId="0" fillId="5" fontId="19" numFmtId="2" xfId="0" applyAlignment="1" applyFont="1" applyNumberFormat="1">
      <alignment horizontal="center"/>
    </xf>
    <xf borderId="0" fillId="13" fontId="19" numFmtId="3" xfId="0" applyAlignment="1" applyFont="1" applyNumberFormat="1">
      <alignment horizontal="center" readingOrder="0"/>
    </xf>
    <xf borderId="0" fillId="2" fontId="20" numFmtId="0" xfId="0" applyAlignment="1" applyFont="1">
      <alignment horizontal="center"/>
    </xf>
    <xf borderId="0" fillId="2" fontId="19" numFmtId="0" xfId="0" applyAlignment="1" applyFont="1">
      <alignment horizontal="center"/>
    </xf>
    <xf borderId="0" fillId="13" fontId="19" numFmtId="0" xfId="0" applyAlignment="1" applyFont="1">
      <alignment horizontal="center" readingOrder="0"/>
    </xf>
    <xf borderId="0" fillId="13" fontId="19" numFmtId="0" xfId="0" applyAlignment="1" applyFont="1">
      <alignment horizontal="center"/>
    </xf>
    <xf borderId="0" fillId="6" fontId="9" numFmtId="0" xfId="0" applyAlignment="1" applyFont="1">
      <alignment horizontal="center" readingOrder="0"/>
    </xf>
    <xf borderId="0" fillId="5" fontId="24" numFmtId="3" xfId="0" applyAlignment="1" applyFont="1" applyNumberFormat="1">
      <alignment horizontal="center"/>
    </xf>
    <xf borderId="0" fillId="16" fontId="14" numFmtId="3" xfId="0" applyAlignment="1" applyFill="1" applyFont="1" applyNumberFormat="1">
      <alignment horizontal="center"/>
    </xf>
    <xf borderId="0" fillId="16" fontId="14" numFmtId="10" xfId="0" applyAlignment="1" applyFont="1" applyNumberFormat="1">
      <alignment horizontal="center"/>
    </xf>
    <xf borderId="0" fillId="16" fontId="14" numFmtId="0" xfId="0" applyAlignment="1" applyFont="1">
      <alignment horizontal="center"/>
    </xf>
    <xf borderId="0" fillId="5" fontId="14" numFmtId="165" xfId="0" applyAlignment="1" applyFont="1" applyNumberFormat="1">
      <alignment horizontal="center" readingOrder="0"/>
    </xf>
    <xf borderId="0" fillId="16" fontId="14" numFmtId="166" xfId="0" applyAlignment="1" applyFont="1" applyNumberFormat="1">
      <alignment horizontal="center"/>
    </xf>
    <xf borderId="0" fillId="5" fontId="24" numFmtId="165" xfId="0" applyAlignment="1" applyFont="1" applyNumberFormat="1">
      <alignment horizontal="center" readingOrder="0"/>
    </xf>
    <xf borderId="0" fillId="10" fontId="8" numFmtId="3" xfId="0" applyAlignment="1" applyFont="1" applyNumberFormat="1">
      <alignment horizontal="center"/>
    </xf>
    <xf borderId="0" fillId="10" fontId="9" numFmtId="3" xfId="0" applyAlignment="1" applyFont="1" applyNumberFormat="1">
      <alignment horizontal="center"/>
    </xf>
    <xf borderId="0" fillId="17" fontId="10" numFmtId="0" xfId="0" applyAlignment="1" applyFill="1" applyFont="1">
      <alignment vertical="bottom"/>
    </xf>
    <xf borderId="0" fillId="17" fontId="10" numFmtId="0" xfId="0" applyAlignment="1" applyFont="1">
      <alignment horizontal="center" vertical="center"/>
    </xf>
    <xf borderId="0" fillId="18" fontId="30" numFmtId="0" xfId="0" applyAlignment="1" applyFill="1" applyFont="1">
      <alignment horizontal="center" readingOrder="0" vertical="center"/>
    </xf>
    <xf borderId="0" fillId="17" fontId="10" numFmtId="0" xfId="0" applyFont="1"/>
    <xf borderId="0" fillId="19" fontId="3" numFmtId="0" xfId="0" applyAlignment="1" applyFill="1" applyFont="1">
      <alignment horizontal="center" readingOrder="0" vertical="center"/>
    </xf>
    <xf borderId="0" fillId="20" fontId="3" numFmtId="3" xfId="0" applyAlignment="1" applyFill="1" applyFont="1" applyNumberFormat="1">
      <alignment horizontal="center" readingOrder="0" vertical="center"/>
    </xf>
    <xf borderId="0" fillId="17" fontId="10" numFmtId="3" xfId="0" applyAlignment="1" applyFont="1" applyNumberFormat="1">
      <alignment horizontal="center" vertical="center"/>
    </xf>
    <xf borderId="0" fillId="20" fontId="3" numFmtId="10" xfId="0" applyAlignment="1" applyFont="1" applyNumberFormat="1">
      <alignment horizontal="center" readingOrder="0" vertical="center"/>
    </xf>
    <xf borderId="0" fillId="20" fontId="2" numFmtId="0" xfId="0" applyAlignment="1" applyFont="1">
      <alignment horizontal="center" readingOrder="0" vertical="center"/>
    </xf>
    <xf borderId="0" fillId="20" fontId="31" numFmtId="2" xfId="0" applyAlignment="1" applyFont="1" applyNumberFormat="1">
      <alignment horizontal="center"/>
    </xf>
    <xf borderId="0" fillId="20" fontId="31" numFmtId="165" xfId="0" applyAlignment="1" applyFont="1" applyNumberFormat="1">
      <alignment horizontal="center"/>
    </xf>
    <xf borderId="0" fillId="20" fontId="31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10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12" fontId="32" numFmtId="0" xfId="0" applyAlignment="1" applyFont="1">
      <alignment horizontal="center" shrinkToFit="0" vertical="bottom" wrapText="1"/>
    </xf>
    <xf borderId="0" fillId="12" fontId="32" numFmtId="0" xfId="0" applyAlignment="1" applyFont="1">
      <alignment horizontal="center" readingOrder="0" shrinkToFit="0" vertical="bottom" wrapText="1"/>
    </xf>
    <xf borderId="0" fillId="0" fontId="10" numFmtId="171" xfId="0" applyAlignment="1" applyFont="1" applyNumberFormat="1">
      <alignment horizontal="right" readingOrder="0" vertical="bottom"/>
    </xf>
    <xf borderId="0" fillId="0" fontId="10" numFmtId="3" xfId="0" applyAlignment="1" applyFont="1" applyNumberFormat="1">
      <alignment horizontal="right" vertical="bottom"/>
    </xf>
    <xf borderId="0" fillId="0" fontId="10" numFmtId="14" xfId="0" applyAlignment="1" applyFont="1" applyNumberFormat="1">
      <alignment horizontal="right" vertical="bottom"/>
    </xf>
    <xf borderId="0" fillId="0" fontId="8" numFmtId="3" xfId="0" applyFont="1" applyNumberFormat="1"/>
    <xf borderId="0" fillId="0" fontId="8" numFmtId="0" xfId="0" applyFont="1"/>
    <xf borderId="0" fillId="0" fontId="8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Token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336D"/>
              </a:solidFill>
            </c:spPr>
          </c:dPt>
          <c:dPt>
            <c:idx val="1"/>
            <c:spPr>
              <a:solidFill>
                <a:srgbClr val="5FA9A7"/>
              </a:solidFill>
            </c:spPr>
          </c:dPt>
          <c:dPt>
            <c:idx val="2"/>
            <c:spPr>
              <a:solidFill>
                <a:srgbClr val="4E4E4E"/>
              </a:solidFill>
            </c:spPr>
          </c:dPt>
          <c:dPt>
            <c:idx val="3"/>
            <c:spPr>
              <a:solidFill>
                <a:srgbClr val="D8CFCD"/>
              </a:solidFill>
            </c:spPr>
          </c:dPt>
          <c:dPt>
            <c:idx val="4"/>
            <c:spPr>
              <a:solidFill>
                <a:srgbClr val="20202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Charts!$B$2:$B$6</c:f>
            </c:strRef>
          </c:cat>
          <c:val>
            <c:numRef>
              <c:f>Charts!$C$2:$C$6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Token Distribution Schedule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Charts!$C$25</c:f>
            </c:strRef>
          </c:tx>
          <c:spPr>
            <a:solidFill>
              <a:srgbClr val="FF336D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Charts!$C$26:$C$36</c:f>
              <c:numCache/>
            </c:numRef>
          </c:val>
        </c:ser>
        <c:ser>
          <c:idx val="1"/>
          <c:order val="1"/>
          <c:tx>
            <c:strRef>
              <c:f>Charts!$D$25</c:f>
            </c:strRef>
          </c:tx>
          <c:spPr>
            <a:solidFill>
              <a:srgbClr val="5FA9A7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Charts!$D$26:$D$36</c:f>
              <c:numCache/>
            </c:numRef>
          </c:val>
        </c:ser>
        <c:ser>
          <c:idx val="2"/>
          <c:order val="2"/>
          <c:tx>
            <c:strRef>
              <c:f>Charts!$E$25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Charts!$E$26:$E$36</c:f>
              <c:numCache/>
            </c:numRef>
          </c:val>
        </c:ser>
        <c:ser>
          <c:idx val="3"/>
          <c:order val="3"/>
          <c:tx>
            <c:strRef>
              <c:f>Charts!$F$25</c:f>
            </c:strRef>
          </c:tx>
          <c:spPr>
            <a:solidFill>
              <a:srgbClr val="4E4E4E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Charts!$F$26:$F$36</c:f>
              <c:numCache/>
            </c:numRef>
          </c:val>
        </c:ser>
        <c:ser>
          <c:idx val="4"/>
          <c:order val="4"/>
          <c:tx>
            <c:strRef>
              <c:f>Charts!$G$25</c:f>
            </c:strRef>
          </c:tx>
          <c:spPr>
            <a:solidFill>
              <a:srgbClr val="22253A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Charts!$G$26:$G$36</c:f>
              <c:numCache/>
            </c:numRef>
          </c:val>
        </c:ser>
        <c:ser>
          <c:idx val="5"/>
          <c:order val="5"/>
          <c:tx>
            <c:strRef>
              <c:f>Charts!$H$25</c:f>
            </c:strRef>
          </c:tx>
          <c:spPr>
            <a:solidFill>
              <a:srgbClr val="D8CFCD"/>
            </a:solidFill>
            <a:ln cmpd="sng">
              <a:solidFill>
                <a:srgbClr val="000000"/>
              </a:solidFill>
            </a:ln>
          </c:spPr>
          <c:cat>
            <c:strRef>
              <c:f>Charts!$B$26:$B$36</c:f>
            </c:strRef>
          </c:cat>
          <c:val>
            <c:numRef>
              <c:f>Charts!$H$26:$H$36</c:f>
              <c:numCache/>
            </c:numRef>
          </c:val>
        </c:ser>
        <c:overlap val="100"/>
        <c:axId val="1002687001"/>
        <c:axId val="509705767"/>
      </c:barChart>
      <c:catAx>
        <c:axId val="1002687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705767"/>
      </c:catAx>
      <c:valAx>
        <c:axId val="509705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6870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95250</xdr:rowOff>
    </xdr:from>
    <xdr:ext cx="1647825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23</xdr:row>
      <xdr:rowOff>180975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1.25"/>
    <col customWidth="1" min="3" max="3" width="13.63"/>
    <col customWidth="1" min="4" max="4" width="13.75"/>
    <col customWidth="1" min="8" max="8" width="13.63"/>
    <col customWidth="1" min="9" max="9" width="7.38"/>
    <col customWidth="1" min="10" max="10" width="18.38"/>
    <col customWidth="1" min="11" max="11" width="13.38"/>
    <col customWidth="1" min="12" max="12" width="15.38"/>
    <col customWidth="1" min="13" max="13" width="16.25"/>
  </cols>
  <sheetData>
    <row r="1">
      <c r="A1" s="1"/>
      <c r="B1" s="2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4"/>
      <c r="O1" s="4"/>
      <c r="P1" s="4"/>
    </row>
    <row r="2" ht="21.75" customHeight="1">
      <c r="A2" s="6"/>
      <c r="B2" s="7" t="s">
        <v>0</v>
      </c>
      <c r="C2" s="8" t="s">
        <v>1</v>
      </c>
      <c r="D2" s="9"/>
      <c r="E2" s="9"/>
      <c r="F2" s="9"/>
      <c r="G2" s="10" t="s">
        <v>2</v>
      </c>
      <c r="H2" s="11">
        <v>1.0E9</v>
      </c>
      <c r="I2" s="12" t="s">
        <v>3</v>
      </c>
      <c r="J2" s="13"/>
      <c r="K2" s="13"/>
      <c r="L2" s="13"/>
      <c r="M2" s="13"/>
      <c r="N2" s="4"/>
      <c r="O2" s="4"/>
      <c r="P2" s="4"/>
    </row>
    <row r="3" ht="23.25" customHeight="1">
      <c r="A3" s="6"/>
      <c r="B3" s="14" t="s">
        <v>4</v>
      </c>
      <c r="C3" s="14"/>
      <c r="D3" s="9"/>
      <c r="E3" s="9"/>
      <c r="F3" s="9"/>
      <c r="G3" s="9"/>
      <c r="H3" s="9"/>
      <c r="I3" s="9"/>
      <c r="J3" s="13"/>
      <c r="K3" s="13"/>
      <c r="L3" s="13"/>
      <c r="M3" s="13"/>
      <c r="N3" s="4"/>
      <c r="O3" s="4"/>
      <c r="P3" s="4"/>
    </row>
    <row r="4" ht="21.75" customHeight="1">
      <c r="A4" s="4"/>
      <c r="B4" s="4"/>
      <c r="C4" s="13"/>
      <c r="D4" s="13"/>
      <c r="E4" s="13"/>
      <c r="F4" s="13"/>
      <c r="G4" s="13"/>
      <c r="H4" s="13"/>
      <c r="I4" s="4"/>
      <c r="J4" s="13"/>
      <c r="K4" s="13"/>
      <c r="L4" s="13"/>
      <c r="M4" s="13"/>
      <c r="N4" s="4"/>
      <c r="O4" s="4"/>
      <c r="P4" s="4"/>
    </row>
    <row r="5">
      <c r="A5" s="4"/>
      <c r="B5" s="15" t="s">
        <v>5</v>
      </c>
      <c r="I5" s="4"/>
      <c r="J5" s="15" t="s">
        <v>6</v>
      </c>
      <c r="N5" s="4"/>
      <c r="O5" s="4"/>
      <c r="P5" s="4"/>
    </row>
    <row r="6">
      <c r="A6" s="4"/>
      <c r="B6" s="16"/>
      <c r="C6" s="17"/>
      <c r="D6" s="17">
        <v>46023.0</v>
      </c>
      <c r="E6" s="17">
        <v>46054.0</v>
      </c>
      <c r="F6" s="18" t="s">
        <v>7</v>
      </c>
      <c r="G6" s="17"/>
      <c r="H6" s="17"/>
      <c r="I6" s="4"/>
      <c r="J6" s="19"/>
      <c r="K6" s="20" t="s">
        <v>8</v>
      </c>
      <c r="L6" s="18" t="s">
        <v>9</v>
      </c>
      <c r="M6" s="18" t="s">
        <v>10</v>
      </c>
      <c r="N6" s="4"/>
      <c r="O6" s="4"/>
      <c r="P6" s="4"/>
    </row>
    <row r="7">
      <c r="A7" s="4"/>
      <c r="B7" s="21"/>
      <c r="C7" s="22"/>
      <c r="D7" s="22" t="s">
        <v>11</v>
      </c>
      <c r="E7" s="23" t="s">
        <v>12</v>
      </c>
      <c r="F7" s="23" t="s">
        <v>13</v>
      </c>
      <c r="G7" s="24"/>
      <c r="H7" s="24"/>
      <c r="I7" s="4"/>
      <c r="J7" s="25" t="s">
        <v>14</v>
      </c>
      <c r="K7" s="26">
        <f>SUM(C13:H13)</f>
        <v>120000000</v>
      </c>
      <c r="L7" s="27">
        <f>SUM(C14:H16)</f>
        <v>4100000</v>
      </c>
      <c r="M7" s="28">
        <f>SUM(C9:H9)</f>
        <v>0.12</v>
      </c>
      <c r="N7" s="4"/>
      <c r="O7" s="4"/>
      <c r="P7" s="4"/>
    </row>
    <row r="8">
      <c r="A8" s="4"/>
      <c r="B8" s="29" t="s">
        <v>15</v>
      </c>
      <c r="C8" s="30"/>
      <c r="D8" s="30" t="s">
        <v>16</v>
      </c>
      <c r="E8" s="31" t="s">
        <v>17</v>
      </c>
      <c r="F8" s="31" t="s">
        <v>8</v>
      </c>
      <c r="G8" s="30"/>
      <c r="H8" s="31"/>
      <c r="I8" s="4"/>
      <c r="J8" s="25" t="s">
        <v>18</v>
      </c>
      <c r="K8" s="32">
        <f>SUM(C12,D12,F12)</f>
        <v>0</v>
      </c>
      <c r="L8" s="33">
        <f>SUM(C14,D14,F14)</f>
        <v>1000000</v>
      </c>
      <c r="M8" s="34">
        <f>SUM(C9:E9)</f>
        <v>0.1</v>
      </c>
      <c r="N8" s="4"/>
      <c r="O8" s="4"/>
      <c r="P8" s="4"/>
    </row>
    <row r="9">
      <c r="A9" s="4"/>
      <c r="B9" s="35" t="s">
        <v>19</v>
      </c>
      <c r="C9" s="36"/>
      <c r="D9" s="36">
        <v>0.1</v>
      </c>
      <c r="E9" s="37"/>
      <c r="F9" s="37">
        <v>0.02</v>
      </c>
      <c r="G9" s="37"/>
      <c r="H9" s="37"/>
      <c r="I9" s="4"/>
      <c r="J9" s="25" t="s">
        <v>20</v>
      </c>
      <c r="K9" s="32">
        <f>SUM(E12)</f>
        <v>50000</v>
      </c>
      <c r="L9" s="33">
        <f>SUM(E15:F16)</f>
        <v>3100000</v>
      </c>
      <c r="M9" s="34">
        <f>SUM(F9)</f>
        <v>0.02</v>
      </c>
      <c r="N9" s="4"/>
      <c r="O9" s="4"/>
      <c r="P9" s="4"/>
    </row>
    <row r="10">
      <c r="A10" s="4"/>
      <c r="B10" s="35" t="s">
        <v>21</v>
      </c>
      <c r="C10" s="38"/>
      <c r="D10" s="38">
        <v>0.02</v>
      </c>
      <c r="E10" s="38">
        <v>42.0</v>
      </c>
      <c r="F10" s="38">
        <v>0.05</v>
      </c>
      <c r="G10" s="39"/>
      <c r="H10" s="39"/>
      <c r="I10" s="4"/>
      <c r="J10" s="4"/>
      <c r="K10" s="4"/>
      <c r="L10" s="4"/>
      <c r="M10" s="4"/>
      <c r="N10" s="4"/>
      <c r="O10" s="4"/>
      <c r="P10" s="4"/>
    </row>
    <row r="11">
      <c r="A11" s="4"/>
      <c r="B11" s="29" t="s">
        <v>22</v>
      </c>
      <c r="C11" s="40"/>
      <c r="D11" s="40" t="s">
        <v>23</v>
      </c>
      <c r="E11" s="40" t="s">
        <v>23</v>
      </c>
      <c r="F11" s="40" t="s">
        <v>23</v>
      </c>
      <c r="G11" s="41"/>
      <c r="H11" s="41"/>
      <c r="I11" s="4"/>
      <c r="J11" s="15" t="s">
        <v>24</v>
      </c>
      <c r="L11" s="4"/>
      <c r="M11" s="4"/>
      <c r="N11" s="4"/>
      <c r="O11" s="4"/>
      <c r="P11" s="4"/>
    </row>
    <row r="12">
      <c r="A12" s="4"/>
      <c r="B12" s="29" t="s">
        <v>25</v>
      </c>
      <c r="C12" s="32"/>
      <c r="D12" s="32"/>
      <c r="E12" s="42">
        <v>50000.0</v>
      </c>
      <c r="F12" s="32"/>
      <c r="G12" s="32"/>
      <c r="H12" s="32"/>
      <c r="I12" s="4"/>
      <c r="J12" s="25" t="s">
        <v>26</v>
      </c>
      <c r="K12" s="43">
        <f>F10/D10</f>
        <v>2.5</v>
      </c>
      <c r="L12" s="4"/>
      <c r="M12" s="4"/>
      <c r="N12" s="4"/>
      <c r="O12" s="4"/>
      <c r="P12" s="4"/>
    </row>
    <row r="13">
      <c r="A13" s="4"/>
      <c r="B13" s="29" t="s">
        <v>27</v>
      </c>
      <c r="C13" s="32"/>
      <c r="D13" s="32">
        <f>$H$2*D9</f>
        <v>100000000</v>
      </c>
      <c r="E13" s="42"/>
      <c r="F13" s="32">
        <f>$H$2*F9</f>
        <v>20000000</v>
      </c>
      <c r="G13" s="32"/>
      <c r="H13" s="32"/>
      <c r="I13" s="4"/>
      <c r="J13" s="25"/>
      <c r="K13" s="43"/>
      <c r="L13" s="4"/>
      <c r="M13" s="4"/>
      <c r="N13" s="4"/>
      <c r="O13" s="4"/>
      <c r="P13" s="4"/>
    </row>
    <row r="14">
      <c r="A14" s="4"/>
      <c r="B14" s="29" t="s">
        <v>28</v>
      </c>
      <c r="C14" s="33"/>
      <c r="D14" s="33">
        <f>D18*D9</f>
        <v>1000000</v>
      </c>
      <c r="E14" s="44" t="s">
        <v>23</v>
      </c>
      <c r="F14" s="44" t="s">
        <v>23</v>
      </c>
      <c r="G14" s="33"/>
      <c r="H14" s="33"/>
      <c r="I14" s="4"/>
      <c r="J14" s="25"/>
      <c r="K14" s="43"/>
      <c r="L14" s="4"/>
      <c r="M14" s="4"/>
      <c r="N14" s="4"/>
      <c r="O14" s="4"/>
      <c r="P14" s="4"/>
    </row>
    <row r="15">
      <c r="A15" s="4"/>
      <c r="B15" s="29" t="s">
        <v>29</v>
      </c>
      <c r="C15" s="33"/>
      <c r="D15" s="44" t="s">
        <v>23</v>
      </c>
      <c r="E15" s="33">
        <f>E10*E12</f>
        <v>2100000</v>
      </c>
      <c r="F15" s="44" t="s">
        <v>23</v>
      </c>
      <c r="G15" s="33"/>
      <c r="H15" s="33"/>
      <c r="I15" s="4"/>
      <c r="J15" s="25"/>
      <c r="K15" s="43"/>
      <c r="L15" s="4"/>
      <c r="M15" s="4"/>
      <c r="N15" s="4"/>
      <c r="O15" s="4"/>
      <c r="P15" s="4"/>
    </row>
    <row r="16">
      <c r="A16" s="4"/>
      <c r="B16" s="29" t="s">
        <v>30</v>
      </c>
      <c r="C16" s="33"/>
      <c r="D16" s="44" t="s">
        <v>23</v>
      </c>
      <c r="E16" s="44" t="s">
        <v>23</v>
      </c>
      <c r="F16" s="33">
        <f>$H$2*F9*F10</f>
        <v>1000000</v>
      </c>
      <c r="G16" s="33"/>
      <c r="H16" s="33"/>
      <c r="I16" s="4"/>
      <c r="J16" s="25"/>
      <c r="K16" s="43"/>
      <c r="L16" s="4"/>
      <c r="M16" s="4"/>
      <c r="N16" s="4"/>
      <c r="O16" s="4"/>
      <c r="P16" s="4"/>
    </row>
    <row r="17">
      <c r="A17" s="4"/>
      <c r="B17" s="35" t="s">
        <v>31</v>
      </c>
      <c r="C17" s="33"/>
      <c r="D17" s="33">
        <f>$H$2*D10</f>
        <v>20000000</v>
      </c>
      <c r="E17" s="44" t="s">
        <v>23</v>
      </c>
      <c r="F17" s="33">
        <f>$H$2*F10</f>
        <v>50000000</v>
      </c>
      <c r="G17" s="33"/>
      <c r="H17" s="33"/>
      <c r="I17" s="4"/>
      <c r="J17" s="25"/>
      <c r="K17" s="43"/>
      <c r="L17" s="4"/>
      <c r="M17" s="4"/>
      <c r="N17" s="4"/>
      <c r="O17" s="4"/>
      <c r="P17" s="4"/>
    </row>
    <row r="18">
      <c r="A18" s="4"/>
      <c r="B18" s="29" t="s">
        <v>32</v>
      </c>
      <c r="C18" s="33"/>
      <c r="D18" s="44">
        <f>D17/2</f>
        <v>10000000</v>
      </c>
      <c r="E18" s="44" t="s">
        <v>23</v>
      </c>
      <c r="F18" s="44" t="s">
        <v>23</v>
      </c>
      <c r="G18" s="33"/>
      <c r="H18" s="33"/>
      <c r="I18" s="4"/>
      <c r="J18" s="25"/>
      <c r="K18" s="43"/>
      <c r="L18" s="4"/>
      <c r="M18" s="4"/>
      <c r="N18" s="4"/>
      <c r="O18" s="4"/>
      <c r="P18" s="4"/>
    </row>
    <row r="19">
      <c r="A19" s="4"/>
      <c r="B19" s="35" t="s">
        <v>33</v>
      </c>
      <c r="C19" s="45"/>
      <c r="D19" s="45" t="s">
        <v>34</v>
      </c>
      <c r="E19" s="45" t="s">
        <v>35</v>
      </c>
      <c r="F19" s="45" t="s">
        <v>36</v>
      </c>
      <c r="G19" s="45"/>
      <c r="H19" s="45"/>
      <c r="I19" s="4"/>
      <c r="J19" s="4"/>
      <c r="K19" s="4"/>
      <c r="L19" s="4"/>
      <c r="M19" s="4"/>
      <c r="N19" s="4"/>
      <c r="O19" s="4"/>
      <c r="P19" s="4"/>
    </row>
    <row r="20">
      <c r="A20" s="4"/>
      <c r="B20" s="29" t="s">
        <v>37</v>
      </c>
      <c r="C20" s="46"/>
      <c r="D20" s="46" t="s">
        <v>38</v>
      </c>
      <c r="E20" s="46" t="s">
        <v>39</v>
      </c>
      <c r="F20" s="46" t="s">
        <v>36</v>
      </c>
      <c r="G20" s="46"/>
      <c r="H20" s="46"/>
      <c r="I20" s="4"/>
      <c r="J20" s="22" t="s">
        <v>40</v>
      </c>
      <c r="K20" s="34">
        <f>C9+F9+D9</f>
        <v>0.12</v>
      </c>
      <c r="L20" s="47" t="s">
        <v>41</v>
      </c>
      <c r="M20" s="48"/>
      <c r="N20" s="4"/>
      <c r="O20" s="4"/>
      <c r="P20" s="4"/>
    </row>
    <row r="21">
      <c r="A21" s="4"/>
      <c r="B21" s="29" t="s">
        <v>42</v>
      </c>
      <c r="C21" s="49"/>
      <c r="D21" s="49" t="str">
        <f>iferror(1-(D17/$E$17),"")</f>
        <v/>
      </c>
      <c r="E21" s="49"/>
      <c r="F21" s="49"/>
      <c r="G21" s="49"/>
      <c r="H21" s="49"/>
      <c r="I21" s="4"/>
      <c r="J21" s="23" t="s">
        <v>43</v>
      </c>
      <c r="K21" s="34">
        <f>SUM(E9)</f>
        <v>0</v>
      </c>
      <c r="L21" s="47" t="s">
        <v>41</v>
      </c>
      <c r="M21" s="48"/>
      <c r="N21" s="4"/>
      <c r="O21" s="4"/>
      <c r="P21" s="4"/>
    </row>
    <row r="22" ht="5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50" t="s">
        <v>44</v>
      </c>
      <c r="C23" s="51"/>
      <c r="D23" s="51">
        <v>50000.0</v>
      </c>
      <c r="E23" s="51"/>
      <c r="F23" s="51"/>
      <c r="G23" s="51"/>
      <c r="H23" s="52"/>
      <c r="I23" s="4"/>
      <c r="J23" s="4"/>
      <c r="K23" s="4"/>
      <c r="L23" s="4"/>
      <c r="M23" s="4"/>
      <c r="N23" s="4"/>
      <c r="O23" s="4"/>
      <c r="P23" s="4"/>
    </row>
    <row r="24">
      <c r="A24" s="4"/>
      <c r="B24" s="50" t="s">
        <v>45</v>
      </c>
      <c r="C24" s="51"/>
      <c r="D24" s="51">
        <v>500000.0</v>
      </c>
      <c r="E24" s="51"/>
      <c r="F24" s="51"/>
      <c r="G24" s="51"/>
      <c r="H24" s="52"/>
      <c r="I24" s="4"/>
      <c r="J24" s="4"/>
      <c r="K24" s="4"/>
      <c r="L24" s="4"/>
      <c r="M24" s="4"/>
      <c r="N24" s="4"/>
      <c r="O24" s="4"/>
      <c r="P24" s="4"/>
    </row>
    <row r="25">
      <c r="A25" s="4"/>
      <c r="B25" s="29" t="s">
        <v>46</v>
      </c>
      <c r="C25" s="53"/>
      <c r="D25" s="53">
        <f>D14/D23</f>
        <v>20</v>
      </c>
      <c r="E25" s="53"/>
      <c r="F25" s="53"/>
      <c r="G25" s="53"/>
      <c r="H25" s="54"/>
      <c r="I25" s="4"/>
      <c r="J25" s="4"/>
      <c r="K25" s="4"/>
      <c r="L25" s="4"/>
      <c r="M25" s="4"/>
      <c r="N25" s="4"/>
      <c r="O25" s="4"/>
      <c r="P25" s="4"/>
    </row>
    <row r="26">
      <c r="A26" s="4"/>
      <c r="B26" s="29" t="s">
        <v>47</v>
      </c>
      <c r="C26" s="51"/>
      <c r="D26" s="51">
        <v>200000.0</v>
      </c>
      <c r="E26" s="51"/>
      <c r="F26" s="51"/>
      <c r="G26" s="51"/>
      <c r="H26" s="55"/>
      <c r="I26" s="56"/>
      <c r="J26" s="4"/>
      <c r="K26" s="4"/>
      <c r="L26" s="4"/>
      <c r="M26" s="4"/>
      <c r="N26" s="4"/>
      <c r="O26" s="4"/>
      <c r="P26" s="4"/>
    </row>
    <row r="27">
      <c r="A27" s="4"/>
      <c r="B27" s="29" t="s">
        <v>48</v>
      </c>
      <c r="C27" s="53"/>
      <c r="D27" s="53">
        <f>D14/D26</f>
        <v>5</v>
      </c>
      <c r="E27" s="53"/>
      <c r="F27" s="53"/>
      <c r="G27" s="53"/>
      <c r="H27" s="57"/>
      <c r="I27" s="4"/>
      <c r="J27" s="4"/>
      <c r="K27" s="4"/>
      <c r="L27" s="4"/>
      <c r="M27" s="4"/>
      <c r="N27" s="4"/>
      <c r="O27" s="4"/>
      <c r="P27" s="4"/>
    </row>
    <row r="28">
      <c r="A28" s="4"/>
      <c r="B28" s="29" t="s">
        <v>49</v>
      </c>
      <c r="C28" s="53"/>
      <c r="D28" s="53">
        <f>D14/D24</f>
        <v>2</v>
      </c>
      <c r="E28" s="53"/>
      <c r="F28" s="58"/>
      <c r="G28" s="53"/>
      <c r="H28" s="57"/>
      <c r="I28" s="4"/>
      <c r="J28" s="4"/>
      <c r="K28" s="4"/>
      <c r="L28" s="4"/>
      <c r="M28" s="4"/>
      <c r="N28" s="4"/>
      <c r="O28" s="4"/>
      <c r="P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</sheetData>
  <mergeCells count="3">
    <mergeCell ref="B5:H5"/>
    <mergeCell ref="J5:M5"/>
    <mergeCell ref="J11:K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2.5"/>
    <col customWidth="1" min="4" max="4" width="13.63"/>
    <col customWidth="1" min="5" max="5" width="10.88"/>
    <col customWidth="1" min="6" max="6" width="12.13"/>
    <col customWidth="1" min="7" max="7" width="8.25"/>
    <col customWidth="1" min="8" max="8" width="9.0"/>
    <col customWidth="1" min="9" max="9" width="9.88"/>
    <col customWidth="1" min="10" max="10" width="12.38"/>
    <col customWidth="1" min="11" max="11" width="3.13"/>
  </cols>
  <sheetData>
    <row r="1" ht="6.75" customHeight="1">
      <c r="A1" s="59" t="s">
        <v>50</v>
      </c>
      <c r="B1" s="60"/>
      <c r="C1" s="61"/>
      <c r="D1" s="62"/>
      <c r="E1" s="63"/>
      <c r="F1" s="62"/>
      <c r="G1" s="62"/>
      <c r="H1" s="62"/>
      <c r="I1" s="62"/>
      <c r="J1" s="62"/>
      <c r="K1" s="60"/>
    </row>
    <row r="2">
      <c r="A2" s="64"/>
      <c r="B2" s="64"/>
      <c r="C2" s="64"/>
      <c r="D2" s="64"/>
      <c r="E2" s="64"/>
      <c r="F2" s="64"/>
      <c r="G2" s="64"/>
      <c r="H2" s="65" t="s">
        <v>3</v>
      </c>
      <c r="I2" s="66" t="s">
        <v>2</v>
      </c>
      <c r="J2" s="67">
        <f>'Fundraising Roadmap'!H2</f>
        <v>1000000000</v>
      </c>
      <c r="K2" s="64"/>
    </row>
    <row r="3" ht="6.75" customHeight="1">
      <c r="A3" s="60"/>
      <c r="B3" s="60"/>
      <c r="C3" s="61"/>
      <c r="D3" s="62"/>
      <c r="E3" s="63"/>
      <c r="F3" s="62"/>
      <c r="G3" s="62"/>
      <c r="H3" s="62"/>
      <c r="I3" s="62"/>
      <c r="J3" s="62"/>
      <c r="K3" s="60"/>
    </row>
    <row r="4">
      <c r="A4" s="64"/>
      <c r="B4" s="15" t="s">
        <v>51</v>
      </c>
      <c r="K4" s="64"/>
    </row>
    <row r="5" ht="32.25" customHeight="1">
      <c r="A5" s="64"/>
      <c r="B5" s="68" t="s">
        <v>52</v>
      </c>
      <c r="C5" s="69" t="s">
        <v>53</v>
      </c>
      <c r="D5" s="70" t="s">
        <v>8</v>
      </c>
      <c r="E5" s="71" t="s">
        <v>54</v>
      </c>
      <c r="F5" s="70" t="s">
        <v>55</v>
      </c>
      <c r="G5" s="70" t="s">
        <v>37</v>
      </c>
      <c r="H5" s="70" t="s">
        <v>33</v>
      </c>
      <c r="I5" s="70" t="s">
        <v>56</v>
      </c>
      <c r="J5" s="70"/>
      <c r="K5" s="64"/>
    </row>
    <row r="6" ht="15.75" customHeight="1">
      <c r="A6" s="64"/>
      <c r="B6" s="72" t="s">
        <v>57</v>
      </c>
      <c r="C6" s="73">
        <f t="shared" ref="C6:D6" si="1">C7</f>
        <v>0.02</v>
      </c>
      <c r="D6" s="74">
        <f t="shared" si="1"/>
        <v>20000000</v>
      </c>
      <c r="E6" s="75">
        <f>SUMPRODUCT(C7,E7)</f>
        <v>0.02</v>
      </c>
      <c r="F6" s="74">
        <f>F7</f>
        <v>20000000</v>
      </c>
      <c r="G6" s="74"/>
      <c r="H6" s="74"/>
      <c r="I6" s="74"/>
      <c r="J6" s="74"/>
      <c r="K6" s="64"/>
    </row>
    <row r="7" ht="23.25" customHeight="1">
      <c r="A7" s="64"/>
      <c r="B7" s="76" t="s">
        <v>13</v>
      </c>
      <c r="C7" s="77">
        <f t="array" ref="C7">iferror(INDEX('Fundraising Roadmap'!$B$7:$H$21,3,MATCH($B7,'Fundraising Roadmap'!$B$7:$H$7,0)),"")</f>
        <v>0.02</v>
      </c>
      <c r="D7" s="78">
        <f>$J$2*C7</f>
        <v>20000000</v>
      </c>
      <c r="E7" s="79">
        <v>1.0</v>
      </c>
      <c r="F7" s="80">
        <f>E7*D7</f>
        <v>20000000</v>
      </c>
      <c r="G7" s="80">
        <v>0.0</v>
      </c>
      <c r="H7" s="80">
        <v>0.0</v>
      </c>
      <c r="I7" s="78">
        <f>G7+H7</f>
        <v>0</v>
      </c>
      <c r="J7" s="80"/>
      <c r="K7" s="64"/>
    </row>
    <row r="8" ht="27.75" customHeight="1">
      <c r="A8" s="64"/>
      <c r="B8" s="72" t="s">
        <v>58</v>
      </c>
      <c r="C8" s="73">
        <f t="shared" ref="C8:D8" si="2">SUM(C9:C12)</f>
        <v>0.49</v>
      </c>
      <c r="D8" s="74">
        <f t="shared" si="2"/>
        <v>490000000</v>
      </c>
      <c r="E8" s="81">
        <f>SUMPRODUCT(C9:C12,E9:E12)</f>
        <v>0.078</v>
      </c>
      <c r="F8" s="74">
        <f>SUM(F9:F12)</f>
        <v>78000000</v>
      </c>
      <c r="G8" s="74"/>
      <c r="H8" s="74"/>
      <c r="I8" s="74"/>
      <c r="J8" s="74"/>
      <c r="K8" s="64"/>
    </row>
    <row r="9" ht="25.5" customHeight="1">
      <c r="A9" s="64"/>
      <c r="B9" s="76" t="s">
        <v>59</v>
      </c>
      <c r="C9" s="77">
        <v>0.15</v>
      </c>
      <c r="D9" s="78">
        <f t="shared" ref="D9:D12" si="3">$J$2*C9</f>
        <v>150000000</v>
      </c>
      <c r="E9" s="82">
        <v>0.2</v>
      </c>
      <c r="F9" s="80">
        <f t="shared" ref="F9:F12" si="4">E9*D9</f>
        <v>30000000</v>
      </c>
      <c r="G9" s="83">
        <v>12.0</v>
      </c>
      <c r="H9" s="83">
        <v>48.0</v>
      </c>
      <c r="I9" s="78">
        <f>G9+H9</f>
        <v>60</v>
      </c>
      <c r="J9" s="49">
        <f>F9/sum(D9:D12)</f>
        <v>0.0612244898</v>
      </c>
      <c r="K9" s="64"/>
    </row>
    <row r="10" ht="25.5" customHeight="1">
      <c r="A10" s="64"/>
      <c r="B10" s="84" t="s">
        <v>60</v>
      </c>
      <c r="C10" s="77">
        <v>0.12</v>
      </c>
      <c r="D10" s="78">
        <f t="shared" si="3"/>
        <v>120000000</v>
      </c>
      <c r="E10" s="82">
        <v>0.15</v>
      </c>
      <c r="F10" s="80">
        <f t="shared" si="4"/>
        <v>18000000</v>
      </c>
      <c r="G10" s="83">
        <v>0.0</v>
      </c>
      <c r="H10" s="83">
        <v>36.0</v>
      </c>
      <c r="I10" s="78">
        <f t="shared" ref="I10:I12" si="5">SUM(G10:H10)</f>
        <v>36</v>
      </c>
      <c r="J10" s="78"/>
      <c r="K10" s="64"/>
    </row>
    <row r="11" ht="25.5" customHeight="1">
      <c r="A11" s="64"/>
      <c r="B11" s="84" t="s">
        <v>61</v>
      </c>
      <c r="C11" s="77">
        <v>0.2</v>
      </c>
      <c r="D11" s="78">
        <f t="shared" si="3"/>
        <v>200000000</v>
      </c>
      <c r="E11" s="82">
        <v>0.15</v>
      </c>
      <c r="F11" s="80">
        <f t="shared" si="4"/>
        <v>30000000</v>
      </c>
      <c r="G11" s="83">
        <v>0.0</v>
      </c>
      <c r="H11" s="83">
        <v>60.0</v>
      </c>
      <c r="I11" s="78">
        <f t="shared" si="5"/>
        <v>60</v>
      </c>
      <c r="J11" s="78"/>
      <c r="K11" s="64"/>
    </row>
    <row r="12" ht="25.5" customHeight="1">
      <c r="A12" s="64"/>
      <c r="B12" s="84" t="s">
        <v>62</v>
      </c>
      <c r="C12" s="77">
        <v>0.02</v>
      </c>
      <c r="D12" s="78">
        <f t="shared" si="3"/>
        <v>20000000</v>
      </c>
      <c r="E12" s="82">
        <v>0.0</v>
      </c>
      <c r="F12" s="80">
        <f t="shared" si="4"/>
        <v>0</v>
      </c>
      <c r="G12" s="83">
        <v>0.0</v>
      </c>
      <c r="H12" s="83">
        <v>12.0</v>
      </c>
      <c r="I12" s="78">
        <f t="shared" si="5"/>
        <v>12</v>
      </c>
      <c r="J12" s="78"/>
      <c r="K12" s="64"/>
    </row>
    <row r="13" ht="26.25" customHeight="1">
      <c r="A13" s="64"/>
      <c r="B13" s="72" t="s">
        <v>63</v>
      </c>
      <c r="C13" s="85">
        <f>SUM(C14:C16)</f>
        <v>0.1</v>
      </c>
      <c r="D13" s="86">
        <f>SUM(D14:D18)</f>
        <v>840000000</v>
      </c>
      <c r="E13" s="87">
        <f>SUMPRODUCT(C14:C18,E14:E18)</f>
        <v>0.076</v>
      </c>
      <c r="F13" s="88">
        <f>sum(F14:F16)</f>
        <v>10000000</v>
      </c>
      <c r="G13" s="88"/>
      <c r="H13" s="88"/>
      <c r="I13" s="88"/>
      <c r="J13" s="88"/>
      <c r="K13" s="64"/>
    </row>
    <row r="14" ht="21.75" customHeight="1">
      <c r="A14" s="64"/>
      <c r="B14" s="76" t="s">
        <v>11</v>
      </c>
      <c r="C14" s="77">
        <f t="array" ref="C14">iferror(INDEX('Fundraising Roadmap'!$B$7:$H$21,3,MATCH($B14,'Fundraising Roadmap'!$B$7:$H$7,0)),"")</f>
        <v>0.1</v>
      </c>
      <c r="D14" s="78">
        <f t="shared" ref="D14:D16" si="6">$J$2*C14</f>
        <v>100000000</v>
      </c>
      <c r="E14" s="82">
        <v>0.1</v>
      </c>
      <c r="F14" s="80">
        <f t="shared" ref="F14:F16" si="7">E14*D14</f>
        <v>10000000</v>
      </c>
      <c r="G14" s="80">
        <v>1.0</v>
      </c>
      <c r="H14" s="80">
        <v>20.0</v>
      </c>
      <c r="I14" s="78">
        <f t="shared" ref="I14:I16" si="8">SUM(G14:H14)</f>
        <v>21</v>
      </c>
      <c r="J14" s="78"/>
      <c r="K14" s="64"/>
    </row>
    <row r="15" ht="25.5" customHeight="1">
      <c r="A15" s="89"/>
      <c r="B15" s="76"/>
      <c r="C15" s="77" t="str">
        <f t="array" ref="C15">iferror(INDEX('Fundraising Roadmap'!$B$7:$H$21,3,MATCH($B15,'Fundraising Roadmap'!$B$7:$H$7,0)),"")</f>
        <v/>
      </c>
      <c r="D15" s="78">
        <f t="shared" si="6"/>
        <v>0</v>
      </c>
      <c r="E15" s="82">
        <v>0.15</v>
      </c>
      <c r="F15" s="80">
        <f t="shared" si="7"/>
        <v>0</v>
      </c>
      <c r="G15" s="78"/>
      <c r="H15" s="78"/>
      <c r="I15" s="78">
        <f t="shared" si="8"/>
        <v>0</v>
      </c>
      <c r="J15" s="78"/>
      <c r="K15" s="64"/>
    </row>
    <row r="16" ht="25.5" customHeight="1">
      <c r="A16" s="89"/>
      <c r="B16" s="76"/>
      <c r="C16" s="77" t="str">
        <f t="array" ref="C16">iferror(INDEX('Fundraising Roadmap'!$B$7:$H$21,3,MATCH($B16,'Fundraising Roadmap'!$B$7:$H$7,0)),"")</f>
        <v/>
      </c>
      <c r="D16" s="78">
        <f t="shared" si="6"/>
        <v>0</v>
      </c>
      <c r="E16" s="82">
        <v>0.05</v>
      </c>
      <c r="F16" s="80">
        <f t="shared" si="7"/>
        <v>0</v>
      </c>
      <c r="G16" s="78"/>
      <c r="H16" s="78"/>
      <c r="I16" s="78">
        <f t="shared" si="8"/>
        <v>0</v>
      </c>
      <c r="J16" s="78"/>
      <c r="K16" s="64"/>
    </row>
    <row r="17" ht="26.25" customHeight="1">
      <c r="A17" s="64"/>
      <c r="B17" s="72" t="s">
        <v>64</v>
      </c>
      <c r="C17" s="73">
        <f>SUM(C18:C20)</f>
        <v>0.1</v>
      </c>
      <c r="D17" s="86">
        <f>SUM(D18:D24)</f>
        <v>680000000</v>
      </c>
      <c r="E17" s="87">
        <f>SUMPRODUCT(C18:C24,E18:E24)</f>
        <v>0.06</v>
      </c>
      <c r="F17" s="88">
        <f>sum(F18:F20)</f>
        <v>60000000</v>
      </c>
      <c r="G17" s="88"/>
      <c r="H17" s="88"/>
      <c r="I17" s="88"/>
      <c r="J17" s="88"/>
      <c r="K17" s="64"/>
    </row>
    <row r="18" ht="25.5" customHeight="1">
      <c r="A18" s="64"/>
      <c r="B18" s="76" t="s">
        <v>65</v>
      </c>
      <c r="C18" s="77">
        <v>0.06</v>
      </c>
      <c r="D18" s="78">
        <f t="shared" ref="D18:D19" si="9">$J$2*C18</f>
        <v>60000000</v>
      </c>
      <c r="E18" s="82">
        <v>1.0</v>
      </c>
      <c r="F18" s="80">
        <f t="shared" ref="F18:F19" si="10">E18*D18</f>
        <v>60000000</v>
      </c>
      <c r="G18" s="83">
        <v>0.0</v>
      </c>
      <c r="H18" s="83">
        <v>0.0</v>
      </c>
      <c r="I18" s="78">
        <f>SUM(G18:H18)</f>
        <v>0</v>
      </c>
      <c r="J18" s="78"/>
      <c r="K18" s="64"/>
    </row>
    <row r="19" ht="25.5" customHeight="1">
      <c r="A19" s="64"/>
      <c r="B19" s="76" t="s">
        <v>66</v>
      </c>
      <c r="C19" s="77">
        <v>0.04</v>
      </c>
      <c r="D19" s="78">
        <f t="shared" si="9"/>
        <v>40000000</v>
      </c>
      <c r="E19" s="82">
        <v>0.0</v>
      </c>
      <c r="F19" s="80">
        <f t="shared" si="10"/>
        <v>0</v>
      </c>
      <c r="G19" s="83">
        <v>0.0</v>
      </c>
      <c r="H19" s="83">
        <v>36.0</v>
      </c>
      <c r="I19" s="78"/>
      <c r="J19" s="78"/>
      <c r="K19" s="64"/>
    </row>
    <row r="20" ht="25.5" customHeight="1">
      <c r="A20" s="64"/>
      <c r="B20" s="76"/>
      <c r="C20" s="77"/>
      <c r="D20" s="78"/>
      <c r="E20" s="82"/>
      <c r="F20" s="80"/>
      <c r="G20" s="83"/>
      <c r="H20" s="83"/>
      <c r="I20" s="78"/>
      <c r="J20" s="78"/>
      <c r="K20" s="64"/>
    </row>
    <row r="21" ht="25.5" customHeight="1">
      <c r="A21" s="64"/>
      <c r="B21" s="72" t="s">
        <v>67</v>
      </c>
      <c r="C21" s="73">
        <f>SUM(C22:C24)</f>
        <v>0.29</v>
      </c>
      <c r="D21" s="90">
        <f>sum(D22:D24)</f>
        <v>290000000</v>
      </c>
      <c r="E21" s="91">
        <f>SUMPRODUCT(C22:C24,E22:E24)</f>
        <v>0</v>
      </c>
      <c r="F21" s="90">
        <f>sum(F22:F24)</f>
        <v>0</v>
      </c>
      <c r="G21" s="90"/>
      <c r="H21" s="90"/>
      <c r="I21" s="90"/>
      <c r="J21" s="90"/>
      <c r="K21" s="64"/>
    </row>
    <row r="22" ht="25.5" customHeight="1">
      <c r="A22" s="64"/>
      <c r="B22" s="84" t="s">
        <v>68</v>
      </c>
      <c r="C22" s="77">
        <f>1-SUM(C6,C8,C13,C17,C23,C24)</f>
        <v>0.08</v>
      </c>
      <c r="D22" s="78">
        <f t="shared" ref="D22:D24" si="11">$J$2*C22</f>
        <v>80000000</v>
      </c>
      <c r="E22" s="82">
        <v>0.0</v>
      </c>
      <c r="F22" s="80">
        <f t="shared" ref="F22:F24" si="12">E22*D22</f>
        <v>0</v>
      </c>
      <c r="G22" s="83">
        <v>6.0</v>
      </c>
      <c r="H22" s="83">
        <v>36.0</v>
      </c>
      <c r="I22" s="78">
        <f t="shared" ref="I22:I24" si="13">SUM(G22:H22)</f>
        <v>42</v>
      </c>
      <c r="J22" s="78"/>
      <c r="K22" s="64"/>
    </row>
    <row r="23" ht="25.5" customHeight="1">
      <c r="A23" s="64"/>
      <c r="B23" s="84" t="s">
        <v>69</v>
      </c>
      <c r="C23" s="77">
        <v>0.04</v>
      </c>
      <c r="D23" s="78">
        <f t="shared" si="11"/>
        <v>40000000</v>
      </c>
      <c r="E23" s="82">
        <v>0.0</v>
      </c>
      <c r="F23" s="80">
        <f t="shared" si="12"/>
        <v>0</v>
      </c>
      <c r="G23" s="83">
        <v>12.0</v>
      </c>
      <c r="H23" s="83">
        <v>36.0</v>
      </c>
      <c r="I23" s="78">
        <f t="shared" si="13"/>
        <v>48</v>
      </c>
      <c r="J23" s="78"/>
      <c r="K23" s="64"/>
    </row>
    <row r="24" ht="25.5" customHeight="1">
      <c r="A24" s="64"/>
      <c r="B24" s="84" t="s">
        <v>70</v>
      </c>
      <c r="C24" s="77">
        <v>0.17</v>
      </c>
      <c r="D24" s="78">
        <f t="shared" si="11"/>
        <v>170000000</v>
      </c>
      <c r="E24" s="82">
        <v>0.0</v>
      </c>
      <c r="F24" s="80">
        <f t="shared" si="12"/>
        <v>0</v>
      </c>
      <c r="G24" s="83">
        <v>12.0</v>
      </c>
      <c r="H24" s="83">
        <v>36.0</v>
      </c>
      <c r="I24" s="78">
        <f t="shared" si="13"/>
        <v>48</v>
      </c>
      <c r="J24" s="78"/>
      <c r="K24" s="64"/>
    </row>
    <row r="25">
      <c r="A25" s="64"/>
      <c r="B25" s="92" t="s">
        <v>71</v>
      </c>
      <c r="C25" s="93">
        <f>sum(C6,C8,C13,C21,C17)</f>
        <v>1</v>
      </c>
      <c r="D25" s="94">
        <f>sum(D6,D8,D13,D21)</f>
        <v>1640000000</v>
      </c>
      <c r="E25" s="95">
        <f>F25/D25</f>
        <v>0.1024390244</v>
      </c>
      <c r="F25" s="94">
        <f>sum(F6,F8,F13,F21,F17)</f>
        <v>168000000</v>
      </c>
      <c r="G25" s="96"/>
      <c r="H25" s="96"/>
      <c r="I25" s="78"/>
      <c r="J25" s="78"/>
      <c r="K25" s="64"/>
    </row>
    <row r="26">
      <c r="A26" s="60"/>
      <c r="B26" s="60"/>
      <c r="C26" s="61"/>
      <c r="D26" s="97"/>
      <c r="E26" s="63"/>
      <c r="F26" s="62"/>
      <c r="G26" s="62"/>
      <c r="H26" s="62"/>
      <c r="I26" s="62"/>
      <c r="J26" s="62"/>
      <c r="K26" s="60"/>
    </row>
    <row r="27">
      <c r="A27" s="60"/>
      <c r="B27" s="60"/>
      <c r="C27" s="61"/>
      <c r="D27" s="97"/>
      <c r="E27" s="97"/>
      <c r="F27" s="97"/>
      <c r="G27" s="97"/>
      <c r="H27" s="97"/>
      <c r="I27" s="97"/>
      <c r="J27" s="97"/>
      <c r="K27" s="97"/>
    </row>
    <row r="28" ht="15.0" customHeight="1">
      <c r="A28" s="60"/>
      <c r="B28" s="60"/>
      <c r="C28" s="61"/>
      <c r="D28" s="97"/>
      <c r="E28" s="97"/>
      <c r="F28" s="97"/>
      <c r="G28" s="97"/>
      <c r="H28" s="97"/>
      <c r="I28" s="97"/>
      <c r="J28" s="97"/>
      <c r="K28" s="97"/>
    </row>
    <row r="29">
      <c r="A29" s="60"/>
      <c r="B29" s="60"/>
      <c r="C29" s="61"/>
      <c r="D29" s="97"/>
      <c r="E29" s="97"/>
      <c r="F29" s="97"/>
      <c r="G29" s="97"/>
      <c r="H29" s="97"/>
      <c r="I29" s="97"/>
      <c r="J29" s="97"/>
      <c r="K29" s="97"/>
    </row>
    <row r="30">
      <c r="A30" s="60"/>
      <c r="B30" s="60"/>
      <c r="C30" s="61"/>
      <c r="D30" s="97"/>
      <c r="E30" s="97"/>
      <c r="F30" s="97"/>
      <c r="G30" s="97"/>
      <c r="H30" s="97"/>
      <c r="I30" s="97"/>
      <c r="J30" s="97"/>
      <c r="K30" s="97"/>
    </row>
    <row r="31">
      <c r="A31" s="60"/>
      <c r="B31" s="60"/>
      <c r="C31" s="61"/>
      <c r="D31" s="97"/>
      <c r="E31" s="97"/>
      <c r="F31" s="97"/>
      <c r="G31" s="97"/>
      <c r="H31" s="97"/>
      <c r="I31" s="97"/>
      <c r="J31" s="97"/>
      <c r="K31" s="97"/>
    </row>
    <row r="32">
      <c r="A32" s="60"/>
      <c r="B32" s="60"/>
      <c r="C32" s="61"/>
      <c r="D32" s="62"/>
      <c r="E32" s="63"/>
      <c r="F32" s="62"/>
      <c r="G32" s="62"/>
      <c r="H32" s="62"/>
      <c r="I32" s="62"/>
      <c r="J32" s="62"/>
      <c r="K32" s="60"/>
    </row>
  </sheetData>
  <mergeCells count="1">
    <mergeCell ref="B4:J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38"/>
    <col customWidth="1" min="2" max="2" width="14.25"/>
    <col customWidth="1" min="3" max="4" width="10.38"/>
    <col customWidth="1" hidden="1" min="5" max="5" width="10.38"/>
    <col customWidth="1" min="6" max="14" width="10.38"/>
    <col customWidth="1" min="15" max="15" width="12.0"/>
    <col customWidth="1" min="16" max="20" width="18.5"/>
    <col customWidth="1" min="21" max="29" width="12.88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 ht="24.75" customHeight="1">
      <c r="A2" s="98"/>
      <c r="B2" s="99"/>
      <c r="C2" s="15" t="s">
        <v>72</v>
      </c>
      <c r="P2" s="100"/>
      <c r="Q2" s="100"/>
      <c r="R2" s="100"/>
      <c r="S2" s="100"/>
      <c r="T2" s="100"/>
      <c r="U2" s="99" t="s">
        <v>73</v>
      </c>
      <c r="AD2" s="101"/>
      <c r="AE2" s="101"/>
    </row>
    <row r="3">
      <c r="A3" s="102"/>
      <c r="B3" s="103"/>
      <c r="C3" s="104" t="s">
        <v>11</v>
      </c>
      <c r="D3" s="104" t="s">
        <v>13</v>
      </c>
      <c r="E3" s="104"/>
      <c r="F3" s="105" t="s">
        <v>70</v>
      </c>
      <c r="G3" s="105" t="s">
        <v>69</v>
      </c>
      <c r="H3" s="105" t="s">
        <v>68</v>
      </c>
      <c r="I3" s="106" t="s">
        <v>60</v>
      </c>
      <c r="J3" s="106" t="s">
        <v>61</v>
      </c>
      <c r="K3" s="106" t="s">
        <v>59</v>
      </c>
      <c r="L3" s="105" t="s">
        <v>62</v>
      </c>
      <c r="M3" s="106" t="s">
        <v>65</v>
      </c>
      <c r="N3" s="105" t="s">
        <v>66</v>
      </c>
      <c r="O3" s="107" t="s">
        <v>74</v>
      </c>
      <c r="P3" s="108" t="s">
        <v>75</v>
      </c>
      <c r="Q3" s="108" t="s">
        <v>76</v>
      </c>
      <c r="R3" s="108" t="s">
        <v>77</v>
      </c>
      <c r="S3" s="109" t="s">
        <v>78</v>
      </c>
      <c r="T3" s="108" t="s">
        <v>79</v>
      </c>
      <c r="U3" s="110">
        <f>'Fundraising Roadmap'!$F$10*U4</f>
        <v>0.033</v>
      </c>
      <c r="V3" s="110">
        <f>'Fundraising Roadmap'!$F$10*V4</f>
        <v>0.05</v>
      </c>
      <c r="W3" s="110">
        <f>'Fundraising Roadmap'!$F$10*W4</f>
        <v>0.15</v>
      </c>
      <c r="X3" s="110">
        <f>'Fundraising Roadmap'!$F$10*X4</f>
        <v>0.25</v>
      </c>
      <c r="Y3" s="110">
        <f>'Fundraising Roadmap'!$F$10*Y4</f>
        <v>0.5</v>
      </c>
      <c r="Z3" s="110">
        <f>'Fundraising Roadmap'!$F$10*Z4</f>
        <v>1</v>
      </c>
      <c r="AA3" s="110">
        <f>'Fundraising Roadmap'!$F$10*AA4</f>
        <v>1.65</v>
      </c>
      <c r="AB3" s="110">
        <f>'Fundraising Roadmap'!$F$10*AB4</f>
        <v>2.5</v>
      </c>
      <c r="AC3" s="110">
        <f>'Fundraising Roadmap'!$F$10*AC4</f>
        <v>5</v>
      </c>
      <c r="AD3" s="111"/>
      <c r="AE3" s="111"/>
    </row>
    <row r="4">
      <c r="A4" s="98"/>
      <c r="B4" s="112" t="s">
        <v>80</v>
      </c>
      <c r="C4" s="113">
        <f t="array" ref="C4">iferror(INDEX('Token Allocation'!$B$6:$J$26,MATCH(C$3,'Token Allocation'!$B$6:$B$26,0),2),"")</f>
        <v>0.1</v>
      </c>
      <c r="D4" s="113">
        <f t="array" ref="D4">iferror(INDEX('Token Allocation'!$B$6:$J$26,MATCH(D$3,'Token Allocation'!$B$6:$B$26,0),2),"")</f>
        <v>0.02</v>
      </c>
      <c r="E4" s="113" t="str">
        <f t="array" ref="E4">iferror(INDEX('Token Allocation'!$B$6:$J$26,MATCH(E$3,'Token Allocation'!$B$6:$B$26,0),2),"")</f>
        <v/>
      </c>
      <c r="F4" s="113">
        <f t="array" ref="F4">iferror(INDEX('Token Allocation'!$B$6:$J$26,MATCH(F$3,'Token Allocation'!$B$6:$B$26,0),2),"")</f>
        <v>0.17</v>
      </c>
      <c r="G4" s="113">
        <f t="array" ref="G4">iferror(INDEX('Token Allocation'!$B$6:$J$26,MATCH(G$3,'Token Allocation'!$B$6:$B$26,0),2),"")</f>
        <v>0.04</v>
      </c>
      <c r="H4" s="113">
        <f t="array" ref="H4">iferror(INDEX('Token Allocation'!$B$6:$J$26,MATCH(H$3,'Token Allocation'!$B$6:$B$26,0),2),"")</f>
        <v>0.08</v>
      </c>
      <c r="I4" s="113">
        <f t="array" ref="I4">iferror(INDEX('Token Allocation'!$B$6:$J$26,MATCH(I$3,'Token Allocation'!$B$6:$B$26,0),2),"")</f>
        <v>0.12</v>
      </c>
      <c r="J4" s="113">
        <f t="array" ref="J4">iferror(INDEX('Token Allocation'!$B$6:$J$26,MATCH(J$3,'Token Allocation'!$B$6:$B$26,0),2),"")</f>
        <v>0.2</v>
      </c>
      <c r="K4" s="113">
        <f t="array" ref="K4">iferror(INDEX('Token Allocation'!$B$6:$J$26,MATCH(K$3,'Token Allocation'!$B$6:$B$26,0),2),"")</f>
        <v>0.15</v>
      </c>
      <c r="L4" s="113">
        <f t="array" ref="L4">iferror(INDEX('Token Allocation'!$B$6:$J$26,MATCH(L$3,'Token Allocation'!$B$6:$B$26,0),2),"")</f>
        <v>0.02</v>
      </c>
      <c r="M4" s="113">
        <f t="array" ref="M4">iferror(INDEX('Token Allocation'!$B$6:$J$26,MATCH(M$3,'Token Allocation'!$B$6:$B$26,0),2),"")</f>
        <v>0.06</v>
      </c>
      <c r="N4" s="113">
        <f t="array" ref="N4">iferror(INDEX('Token Allocation'!$B$6:$J$26,MATCH(N$3,'Token Allocation'!$B$6:$B$26,0),2),"")</f>
        <v>0.04</v>
      </c>
      <c r="O4" s="114">
        <f t="shared" ref="O4:O6" si="1">SUM(C4:N4)</f>
        <v>1</v>
      </c>
      <c r="P4" s="115"/>
      <c r="Q4" s="115"/>
      <c r="R4" s="116"/>
      <c r="S4" s="116"/>
      <c r="T4" s="117" t="s">
        <v>81</v>
      </c>
      <c r="U4" s="118">
        <v>0.66</v>
      </c>
      <c r="V4" s="118">
        <v>1.0</v>
      </c>
      <c r="W4" s="118">
        <v>3.0</v>
      </c>
      <c r="X4" s="118">
        <v>5.0</v>
      </c>
      <c r="Y4" s="118">
        <v>10.0</v>
      </c>
      <c r="Z4" s="118">
        <v>20.0</v>
      </c>
      <c r="AA4" s="118">
        <v>33.0</v>
      </c>
      <c r="AB4" s="118">
        <v>50.0</v>
      </c>
      <c r="AC4" s="118">
        <v>100.0</v>
      </c>
      <c r="AD4" s="101"/>
      <c r="AE4" s="101"/>
    </row>
    <row r="5">
      <c r="A5" s="98"/>
      <c r="B5" s="112" t="s">
        <v>71</v>
      </c>
      <c r="C5" s="119">
        <f>IFERROR(C4*'Token Allocation'!$J$2,"")</f>
        <v>100000000</v>
      </c>
      <c r="D5" s="119">
        <f>IFERROR(D4*'Token Allocation'!$J$2,"")</f>
        <v>20000000</v>
      </c>
      <c r="E5" s="119">
        <f>IFERROR(E4*'Token Allocation'!$J$2,"")</f>
        <v>0</v>
      </c>
      <c r="F5" s="119">
        <f>IFERROR(F4*'Token Allocation'!$J$2,"")</f>
        <v>170000000</v>
      </c>
      <c r="G5" s="119">
        <f>IFERROR(G4*'Token Allocation'!$J$2,"")</f>
        <v>40000000</v>
      </c>
      <c r="H5" s="119">
        <f>IFERROR(H4*'Token Allocation'!$J$2,"")</f>
        <v>80000000</v>
      </c>
      <c r="I5" s="119">
        <f>IFERROR(I4*'Token Allocation'!$J$2,"")</f>
        <v>120000000</v>
      </c>
      <c r="J5" s="119">
        <f>IFERROR(J4*'Token Allocation'!$J$2,"")</f>
        <v>200000000</v>
      </c>
      <c r="K5" s="119">
        <f>IFERROR(K4*'Token Allocation'!$J$2,"")</f>
        <v>150000000</v>
      </c>
      <c r="L5" s="119">
        <f>IFERROR(L4*'Token Allocation'!$J$2,"")</f>
        <v>20000000</v>
      </c>
      <c r="M5" s="119">
        <f>IFERROR(M4*'Token Allocation'!$J$2,"")</f>
        <v>60000000</v>
      </c>
      <c r="N5" s="119">
        <f>IFERROR(N4*'Token Allocation'!$J$2,"")</f>
        <v>40000000</v>
      </c>
      <c r="O5" s="119">
        <f t="shared" si="1"/>
        <v>1000000000</v>
      </c>
      <c r="P5" s="115"/>
      <c r="Q5" s="115"/>
      <c r="R5" s="116"/>
      <c r="S5" s="116"/>
      <c r="T5" s="120" t="s">
        <v>82</v>
      </c>
      <c r="U5" s="121">
        <f>'Fundraising Roadmap'!$K$12*U4</f>
        <v>1.65</v>
      </c>
      <c r="V5" s="121">
        <f>'Fundraising Roadmap'!$K$12*V4</f>
        <v>2.5</v>
      </c>
      <c r="W5" s="121">
        <f>'Fundraising Roadmap'!$K$12*W4</f>
        <v>7.5</v>
      </c>
      <c r="X5" s="121">
        <f>'Fundraising Roadmap'!$K$12*X4</f>
        <v>12.5</v>
      </c>
      <c r="Y5" s="121">
        <f>'Fundraising Roadmap'!$K$12*Y4</f>
        <v>25</v>
      </c>
      <c r="Z5" s="121">
        <f>'Fundraising Roadmap'!$K$12*Z4</f>
        <v>50</v>
      </c>
      <c r="AA5" s="121">
        <f>'Fundraising Roadmap'!$K$12*AA4</f>
        <v>82.5</v>
      </c>
      <c r="AB5" s="121">
        <f>'Fundraising Roadmap'!$K$12*AB4</f>
        <v>125</v>
      </c>
      <c r="AC5" s="121">
        <f>'Fundraising Roadmap'!$K$12*AC4</f>
        <v>250</v>
      </c>
      <c r="AD5" s="101"/>
      <c r="AE5" s="101"/>
    </row>
    <row r="6">
      <c r="A6" s="98"/>
      <c r="B6" s="112" t="s">
        <v>83</v>
      </c>
      <c r="C6" s="122">
        <f t="array" ref="C6">iferror(INDEX('Token Allocation'!$B$5:$J$26,MATCH(C$3,'Token Allocation'!$B$5:$B$26,0),5),"")</f>
        <v>10000000</v>
      </c>
      <c r="D6" s="122">
        <f t="array" ref="D6">iferror(INDEX('Token Allocation'!$B$5:$J$26,MATCH(D$3,'Token Allocation'!$B$5:$B$26,0),5),"")</f>
        <v>20000000</v>
      </c>
      <c r="E6" s="122" t="str">
        <f t="array" ref="E6">iferror(INDEX('Token Allocation'!$B$5:$J$26,MATCH(E$3,'Token Allocation'!$B$5:$B$26,0),5),"")</f>
        <v/>
      </c>
      <c r="F6" s="122">
        <f t="array" ref="F6">iferror(INDEX('Token Allocation'!$B$5:$J$26,MATCH(F$3,'Token Allocation'!$B$5:$B$26,0),5),"")</f>
        <v>0</v>
      </c>
      <c r="G6" s="122">
        <f t="array" ref="G6">iferror(INDEX('Token Allocation'!$B$5:$J$26,MATCH(G$3,'Token Allocation'!$B$5:$B$26,0),5),"")</f>
        <v>0</v>
      </c>
      <c r="H6" s="122">
        <f t="array" ref="H6">iferror(INDEX('Token Allocation'!$B$5:$J$26,MATCH(H$3,'Token Allocation'!$B$5:$B$26,0),5),"")</f>
        <v>0</v>
      </c>
      <c r="I6" s="122">
        <f t="array" ref="I6">iferror(INDEX('Token Allocation'!$B$5:$J$26,MATCH(I$3,'Token Allocation'!$B$5:$B$26,0),5),"")</f>
        <v>18000000</v>
      </c>
      <c r="J6" s="122">
        <f t="array" ref="J6">iferror(INDEX('Token Allocation'!$B$5:$J$26,MATCH(J$3,'Token Allocation'!$B$5:$B$26,0),5),"")</f>
        <v>30000000</v>
      </c>
      <c r="K6" s="122">
        <f t="array" ref="K6">iferror(INDEX('Token Allocation'!$B$5:$J$26,MATCH(K$3,'Token Allocation'!$B$5:$B$26,0),5),"")</f>
        <v>30000000</v>
      </c>
      <c r="L6" s="122">
        <f t="array" ref="L6">iferror(INDEX('Token Allocation'!$B$5:$J$26,MATCH(L$3,'Token Allocation'!$B$5:$B$26,0),5),"")</f>
        <v>0</v>
      </c>
      <c r="M6" s="122">
        <f t="array" ref="M6">iferror(INDEX('Token Allocation'!$B$5:$J$26,MATCH(M$3,'Token Allocation'!$B$5:$B$26,0),5),"")</f>
        <v>60000000</v>
      </c>
      <c r="N6" s="122">
        <f t="array" ref="N6">iferror(INDEX('Token Allocation'!$B$5:$J$26,MATCH(N$3,'Token Allocation'!$B$5:$B$26,0),5),"")</f>
        <v>0</v>
      </c>
      <c r="O6" s="119">
        <f t="shared" si="1"/>
        <v>168000000</v>
      </c>
      <c r="P6" s="123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16"/>
      <c r="AC6" s="116"/>
      <c r="AD6" s="101"/>
      <c r="AE6" s="101"/>
    </row>
    <row r="7">
      <c r="A7" s="98"/>
      <c r="B7" s="112" t="s">
        <v>37</v>
      </c>
      <c r="C7" s="125">
        <f t="array" ref="C7">iferror(INDEX('Token Allocation'!$B$5:$J$26,MATCH(C$3,'Token Allocation'!$B$5:$B$26,0),6),"")</f>
        <v>1</v>
      </c>
      <c r="D7" s="125">
        <f t="array" ref="D7">iferror(INDEX('Token Allocation'!$B$5:$J$26,MATCH(D$3,'Token Allocation'!$B$5:$B$26,0),6),"")</f>
        <v>0</v>
      </c>
      <c r="E7" s="125" t="str">
        <f t="array" ref="E7">iferror(INDEX('Token Allocation'!$B$5:$J$26,MATCH(E$3,'Token Allocation'!$B$5:$B$26,0),6),"")</f>
        <v/>
      </c>
      <c r="F7" s="125">
        <f t="array" ref="F7">iferror(INDEX('Token Allocation'!$B$5:$J$26,MATCH(F$3,'Token Allocation'!$B$5:$B$26,0),6),"")</f>
        <v>12</v>
      </c>
      <c r="G7" s="125">
        <f t="array" ref="G7">iferror(INDEX('Token Allocation'!$B$5:$J$26,MATCH(G$3,'Token Allocation'!$B$5:$B$26,0),6),"")</f>
        <v>12</v>
      </c>
      <c r="H7" s="125">
        <f t="array" ref="H7">iferror(INDEX('Token Allocation'!$B$5:$J$26,MATCH(H$3,'Token Allocation'!$B$5:$B$26,0),6),"")</f>
        <v>6</v>
      </c>
      <c r="I7" s="125">
        <f t="array" ref="I7">iferror(INDEX('Token Allocation'!$B$5:$J$26,MATCH(I$3,'Token Allocation'!$B$5:$B$26,0),6),"")</f>
        <v>0</v>
      </c>
      <c r="J7" s="125">
        <f t="array" ref="J7">iferror(INDEX('Token Allocation'!$B$5:$J$26,MATCH(J$3,'Token Allocation'!$B$5:$B$26,0),6),"")</f>
        <v>0</v>
      </c>
      <c r="K7" s="125">
        <f t="array" ref="K7">iferror(INDEX('Token Allocation'!$B$5:$J$26,MATCH(K$3,'Token Allocation'!$B$5:$B$26,0),6),"")</f>
        <v>12</v>
      </c>
      <c r="L7" s="125">
        <f t="array" ref="L7">iferror(INDEX('Token Allocation'!$B$5:$J$26,MATCH(L$3,'Token Allocation'!$B$5:$B$26,0),6),"")</f>
        <v>0</v>
      </c>
      <c r="M7" s="125">
        <f t="array" ref="M7">iferror(INDEX('Token Allocation'!$B$5:$J$26,MATCH(M$3,'Token Allocation'!$B$5:$B$26,0),6),"")</f>
        <v>0</v>
      </c>
      <c r="N7" s="125">
        <f t="array" ref="N7">iferror(INDEX('Token Allocation'!$B$5:$J$26,MATCH(N$3,'Token Allocation'!$B$5:$B$26,0),6),"")</f>
        <v>0</v>
      </c>
      <c r="O7" s="126"/>
      <c r="P7" s="123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16"/>
      <c r="AC7" s="116"/>
      <c r="AD7" s="101"/>
      <c r="AE7" s="101"/>
    </row>
    <row r="8">
      <c r="A8" s="98"/>
      <c r="B8" s="112" t="s">
        <v>33</v>
      </c>
      <c r="C8" s="125">
        <f t="array" ref="C8">iferror(INDEX('Token Allocation'!$B$5:$J$26,MATCH(C$3,'Token Allocation'!$B$5:$B$26,0),7),"")</f>
        <v>20</v>
      </c>
      <c r="D8" s="125">
        <f t="array" ref="D8">iferror(INDEX('Token Allocation'!$B$5:$J$26,MATCH(D$3,'Token Allocation'!$B$5:$B$26,0),7),"")</f>
        <v>0</v>
      </c>
      <c r="E8" s="125" t="str">
        <f t="array" ref="E8">iferror(INDEX('Token Allocation'!$B$5:$J$26,MATCH(E$3,'Token Allocation'!$B$5:$B$26,0),7),"")</f>
        <v/>
      </c>
      <c r="F8" s="125">
        <f t="array" ref="F8">iferror(INDEX('Token Allocation'!$B$5:$J$26,MATCH(F$3,'Token Allocation'!$B$5:$B$26,0),7),"")</f>
        <v>36</v>
      </c>
      <c r="G8" s="125">
        <f t="array" ref="G8">iferror(INDEX('Token Allocation'!$B$5:$J$26,MATCH(G$3,'Token Allocation'!$B$5:$B$26,0),7),"")</f>
        <v>36</v>
      </c>
      <c r="H8" s="125">
        <f t="array" ref="H8">iferror(INDEX('Token Allocation'!$B$5:$J$26,MATCH(H$3,'Token Allocation'!$B$5:$B$26,0),7),"")</f>
        <v>36</v>
      </c>
      <c r="I8" s="125">
        <f t="array" ref="I8">iferror(INDEX('Token Allocation'!$B$5:$J$26,MATCH(I$3,'Token Allocation'!$B$5:$B$26,0),7),"")</f>
        <v>36</v>
      </c>
      <c r="J8" s="125">
        <f t="array" ref="J8">iferror(INDEX('Token Allocation'!$B$5:$J$26,MATCH(J$3,'Token Allocation'!$B$5:$B$26,0),7),"")</f>
        <v>60</v>
      </c>
      <c r="K8" s="125">
        <f t="array" ref="K8">iferror(INDEX('Token Allocation'!$B$5:$J$26,MATCH(K$3,'Token Allocation'!$B$5:$B$26,0),7),"")</f>
        <v>48</v>
      </c>
      <c r="L8" s="125">
        <f t="array" ref="L8">iferror(INDEX('Token Allocation'!$B$5:$J$26,MATCH(L$3,'Token Allocation'!$B$5:$B$26,0),7),"")</f>
        <v>12</v>
      </c>
      <c r="M8" s="125">
        <f t="array" ref="M8">iferror(INDEX('Token Allocation'!$B$5:$J$26,MATCH(M$3,'Token Allocation'!$B$5:$B$26,0),7),"")</f>
        <v>0</v>
      </c>
      <c r="N8" s="125">
        <f t="array" ref="N8">iferror(INDEX('Token Allocation'!$B$5:$J$26,MATCH(N$3,'Token Allocation'!$B$5:$B$26,0),7),"")</f>
        <v>36</v>
      </c>
      <c r="O8" s="125"/>
      <c r="P8" s="123"/>
      <c r="Q8" s="123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16"/>
      <c r="AC8" s="116"/>
      <c r="AD8" s="101"/>
      <c r="AE8" s="101"/>
    </row>
    <row r="9">
      <c r="A9" s="98"/>
      <c r="B9" s="127">
        <v>1.0</v>
      </c>
      <c r="C9" s="94">
        <f t="shared" ref="C9:N9" si="2">if(C$7=0, if($B9=1, C$6, IF(and($B9&gt;C$7,$B9&lt;=sum(C$8,C$7)),(C$5-C$6)/(C$8-1),"")),IF($B9=1,C$6,IF(and($B9&gt;C$7,$B9&lt;=sum(C$8,C$7)),(C$5-C$6)/C$8,"")))</f>
        <v>10000000</v>
      </c>
      <c r="D9" s="94">
        <f t="shared" si="2"/>
        <v>20000000</v>
      </c>
      <c r="E9" s="94" t="str">
        <f t="shared" si="2"/>
        <v/>
      </c>
      <c r="F9" s="94">
        <f t="shared" si="2"/>
        <v>0</v>
      </c>
      <c r="G9" s="94">
        <f t="shared" si="2"/>
        <v>0</v>
      </c>
      <c r="H9" s="94">
        <f t="shared" si="2"/>
        <v>0</v>
      </c>
      <c r="I9" s="94">
        <f t="shared" si="2"/>
        <v>18000000</v>
      </c>
      <c r="J9" s="94">
        <f t="shared" si="2"/>
        <v>30000000</v>
      </c>
      <c r="K9" s="94">
        <f t="shared" si="2"/>
        <v>30000000</v>
      </c>
      <c r="L9" s="94">
        <f t="shared" si="2"/>
        <v>0</v>
      </c>
      <c r="M9" s="94">
        <f t="shared" si="2"/>
        <v>60000000</v>
      </c>
      <c r="N9" s="94">
        <f t="shared" si="2"/>
        <v>0</v>
      </c>
      <c r="O9" s="128">
        <f t="shared" ref="O9:O69" si="5">SUM(C9:N9)</f>
        <v>168000000</v>
      </c>
      <c r="P9" s="129">
        <f t="shared" ref="P9:P68" si="6">N9+SUM(E9:H9)</f>
        <v>0</v>
      </c>
      <c r="Q9" s="129">
        <f>SUM(C9:N9)</f>
        <v>168000000</v>
      </c>
      <c r="R9" s="130">
        <f t="shared" ref="R9:R68" si="7">Q9/$O$5</f>
        <v>0.168</v>
      </c>
      <c r="S9" s="131"/>
      <c r="T9" s="131"/>
      <c r="U9" s="132">
        <f t="shared" ref="U9:AC9" si="3">$Q9*U$3</f>
        <v>5544000</v>
      </c>
      <c r="V9" s="132">
        <f t="shared" si="3"/>
        <v>8400000</v>
      </c>
      <c r="W9" s="132">
        <f t="shared" si="3"/>
        <v>25200000</v>
      </c>
      <c r="X9" s="132">
        <f t="shared" si="3"/>
        <v>42000000</v>
      </c>
      <c r="Y9" s="132">
        <f t="shared" si="3"/>
        <v>84000000</v>
      </c>
      <c r="Z9" s="132">
        <f t="shared" si="3"/>
        <v>168000000</v>
      </c>
      <c r="AA9" s="132">
        <f t="shared" si="3"/>
        <v>277200000</v>
      </c>
      <c r="AB9" s="132">
        <f t="shared" si="3"/>
        <v>420000000</v>
      </c>
      <c r="AC9" s="132">
        <f t="shared" si="3"/>
        <v>840000000</v>
      </c>
      <c r="AD9" s="101"/>
      <c r="AE9" s="101"/>
    </row>
    <row r="10">
      <c r="A10" s="98"/>
      <c r="B10" s="127">
        <v>2.0</v>
      </c>
      <c r="C10" s="94">
        <f t="shared" ref="C10:N10" si="4">if(C$7=0, if($B10=1, C$6, IF(and($B10&gt;C$7,$B10&lt;=sum(C$8,C$7)),(C$5-C$6)/(C$8-1),"")),IF($B10=1,C$6,IF(and($B10&gt;C$7,$B10&lt;=sum(C$8,C$7)),(C$5-C$6)/C$8,"")))</f>
        <v>4500000</v>
      </c>
      <c r="D10" s="94" t="str">
        <f t="shared" si="4"/>
        <v/>
      </c>
      <c r="E10" s="94" t="str">
        <f t="shared" si="4"/>
        <v/>
      </c>
      <c r="F10" s="94" t="str">
        <f t="shared" si="4"/>
        <v/>
      </c>
      <c r="G10" s="94" t="str">
        <f t="shared" si="4"/>
        <v/>
      </c>
      <c r="H10" s="94" t="str">
        <f t="shared" si="4"/>
        <v/>
      </c>
      <c r="I10" s="94">
        <f t="shared" si="4"/>
        <v>2914285.714</v>
      </c>
      <c r="J10" s="94">
        <f t="shared" si="4"/>
        <v>2881355.932</v>
      </c>
      <c r="K10" s="94" t="str">
        <f t="shared" si="4"/>
        <v/>
      </c>
      <c r="L10" s="94">
        <f t="shared" si="4"/>
        <v>1818181.818</v>
      </c>
      <c r="M10" s="94" t="str">
        <f t="shared" si="4"/>
        <v/>
      </c>
      <c r="N10" s="94">
        <f t="shared" si="4"/>
        <v>1142857.143</v>
      </c>
      <c r="O10" s="128">
        <f t="shared" si="5"/>
        <v>13256680.61</v>
      </c>
      <c r="P10" s="129">
        <f t="shared" si="6"/>
        <v>1142857.143</v>
      </c>
      <c r="Q10" s="129">
        <f t="shared" ref="Q10:Q68" si="10">Q9+SUM(C10:N10)</f>
        <v>181256680.6</v>
      </c>
      <c r="R10" s="130">
        <f t="shared" si="7"/>
        <v>0.1812566806</v>
      </c>
      <c r="S10" s="133">
        <f t="shared" ref="S10:S68" si="11">R10-R9</f>
        <v>0.01325668061</v>
      </c>
      <c r="T10" s="133">
        <f t="shared" ref="T10:T68" si="12">(R10/R9)-100%</f>
        <v>0.07890881314</v>
      </c>
      <c r="U10" s="132">
        <f t="shared" ref="U10:AC10" si="8">$Q10*U$3</f>
        <v>5981470.46</v>
      </c>
      <c r="V10" s="132">
        <f t="shared" si="8"/>
        <v>9062834.03</v>
      </c>
      <c r="W10" s="132">
        <f t="shared" si="8"/>
        <v>27188502.09</v>
      </c>
      <c r="X10" s="132">
        <f t="shared" si="8"/>
        <v>45314170.15</v>
      </c>
      <c r="Y10" s="132">
        <f t="shared" si="8"/>
        <v>90628340.3</v>
      </c>
      <c r="Z10" s="132">
        <f t="shared" si="8"/>
        <v>181256680.6</v>
      </c>
      <c r="AA10" s="132">
        <f t="shared" si="8"/>
        <v>299073523</v>
      </c>
      <c r="AB10" s="132">
        <f t="shared" si="8"/>
        <v>453141701.5</v>
      </c>
      <c r="AC10" s="132">
        <f t="shared" si="8"/>
        <v>906283403</v>
      </c>
      <c r="AD10" s="101"/>
      <c r="AE10" s="101"/>
    </row>
    <row r="11">
      <c r="A11" s="98"/>
      <c r="B11" s="127">
        <v>3.0</v>
      </c>
      <c r="C11" s="94">
        <f t="shared" ref="C11:N11" si="9">if(C$7=0, if($B11=1, C$6, IF(and($B11&gt;C$7,$B11&lt;=sum(C$8,C$7)),(C$5-C$6)/(C$8-1),"")),IF($B11=1,C$6,IF(and($B11&gt;C$7,$B11&lt;=sum(C$8,C$7)),(C$5-C$6)/C$8,"")))</f>
        <v>4500000</v>
      </c>
      <c r="D11" s="94" t="str">
        <f t="shared" si="9"/>
        <v/>
      </c>
      <c r="E11" s="94" t="str">
        <f t="shared" si="9"/>
        <v/>
      </c>
      <c r="F11" s="94" t="str">
        <f t="shared" si="9"/>
        <v/>
      </c>
      <c r="G11" s="94" t="str">
        <f t="shared" si="9"/>
        <v/>
      </c>
      <c r="H11" s="94" t="str">
        <f t="shared" si="9"/>
        <v/>
      </c>
      <c r="I11" s="94">
        <f t="shared" si="9"/>
        <v>2914285.714</v>
      </c>
      <c r="J11" s="94">
        <f t="shared" si="9"/>
        <v>2881355.932</v>
      </c>
      <c r="K11" s="94" t="str">
        <f t="shared" si="9"/>
        <v/>
      </c>
      <c r="L11" s="94">
        <f t="shared" si="9"/>
        <v>1818181.818</v>
      </c>
      <c r="M11" s="94" t="str">
        <f t="shared" si="9"/>
        <v/>
      </c>
      <c r="N11" s="94">
        <f t="shared" si="9"/>
        <v>1142857.143</v>
      </c>
      <c r="O11" s="128">
        <f t="shared" si="5"/>
        <v>13256680.61</v>
      </c>
      <c r="P11" s="129">
        <f t="shared" si="6"/>
        <v>1142857.143</v>
      </c>
      <c r="Q11" s="129">
        <f t="shared" si="10"/>
        <v>194513361.2</v>
      </c>
      <c r="R11" s="130">
        <f t="shared" si="7"/>
        <v>0.1945133612</v>
      </c>
      <c r="S11" s="133">
        <f t="shared" si="11"/>
        <v>0.01325668061</v>
      </c>
      <c r="T11" s="133">
        <f t="shared" si="12"/>
        <v>0.07313761106</v>
      </c>
      <c r="U11" s="132">
        <f t="shared" ref="U11:AC11" si="13">$Q11*U$3</f>
        <v>6418940.92</v>
      </c>
      <c r="V11" s="132">
        <f t="shared" si="13"/>
        <v>9725668.061</v>
      </c>
      <c r="W11" s="132">
        <f t="shared" si="13"/>
        <v>29177004.18</v>
      </c>
      <c r="X11" s="132">
        <f t="shared" si="13"/>
        <v>48628340.3</v>
      </c>
      <c r="Y11" s="132">
        <f t="shared" si="13"/>
        <v>97256680.61</v>
      </c>
      <c r="Z11" s="132">
        <f t="shared" si="13"/>
        <v>194513361.2</v>
      </c>
      <c r="AA11" s="132">
        <f t="shared" si="13"/>
        <v>320947046</v>
      </c>
      <c r="AB11" s="132">
        <f t="shared" si="13"/>
        <v>486283403</v>
      </c>
      <c r="AC11" s="132">
        <f t="shared" si="13"/>
        <v>972566806.1</v>
      </c>
      <c r="AD11" s="101"/>
      <c r="AE11" s="101"/>
    </row>
    <row r="12">
      <c r="A12" s="98"/>
      <c r="B12" s="127">
        <v>4.0</v>
      </c>
      <c r="C12" s="94">
        <f t="shared" ref="C12:N12" si="14">if(C$7=0, if($B12=1, C$6, IF(and($B12&gt;C$7,$B12&lt;=sum(C$8,C$7)),(C$5-C$6)/(C$8-1),"")),IF($B12=1,C$6,IF(and($B12&gt;C$7,$B12&lt;=sum(C$8,C$7)),(C$5-C$6)/C$8,"")))</f>
        <v>4500000</v>
      </c>
      <c r="D12" s="94" t="str">
        <f t="shared" si="14"/>
        <v/>
      </c>
      <c r="E12" s="94" t="str">
        <f t="shared" si="14"/>
        <v/>
      </c>
      <c r="F12" s="94" t="str">
        <f t="shared" si="14"/>
        <v/>
      </c>
      <c r="G12" s="94" t="str">
        <f t="shared" si="14"/>
        <v/>
      </c>
      <c r="H12" s="94" t="str">
        <f t="shared" si="14"/>
        <v/>
      </c>
      <c r="I12" s="94">
        <f t="shared" si="14"/>
        <v>2914285.714</v>
      </c>
      <c r="J12" s="94">
        <f t="shared" si="14"/>
        <v>2881355.932</v>
      </c>
      <c r="K12" s="94" t="str">
        <f t="shared" si="14"/>
        <v/>
      </c>
      <c r="L12" s="94">
        <f t="shared" si="14"/>
        <v>1818181.818</v>
      </c>
      <c r="M12" s="94" t="str">
        <f t="shared" si="14"/>
        <v/>
      </c>
      <c r="N12" s="94">
        <f t="shared" si="14"/>
        <v>1142857.143</v>
      </c>
      <c r="O12" s="128">
        <f t="shared" si="5"/>
        <v>13256680.61</v>
      </c>
      <c r="P12" s="129">
        <f t="shared" si="6"/>
        <v>1142857.143</v>
      </c>
      <c r="Q12" s="129">
        <f t="shared" si="10"/>
        <v>207770041.8</v>
      </c>
      <c r="R12" s="130">
        <f t="shared" si="7"/>
        <v>0.2077700418</v>
      </c>
      <c r="S12" s="133">
        <f t="shared" si="11"/>
        <v>0.01325668061</v>
      </c>
      <c r="T12" s="133">
        <f t="shared" si="12"/>
        <v>0.06815305913</v>
      </c>
      <c r="U12" s="132">
        <f t="shared" ref="U12:AC12" si="15">$Q12*U$3</f>
        <v>6856411.38</v>
      </c>
      <c r="V12" s="132">
        <f t="shared" si="15"/>
        <v>10388502.09</v>
      </c>
      <c r="W12" s="132">
        <f t="shared" si="15"/>
        <v>31165506.27</v>
      </c>
      <c r="X12" s="132">
        <f t="shared" si="15"/>
        <v>51942510.46</v>
      </c>
      <c r="Y12" s="132">
        <f t="shared" si="15"/>
        <v>103885020.9</v>
      </c>
      <c r="Z12" s="132">
        <f t="shared" si="15"/>
        <v>207770041.8</v>
      </c>
      <c r="AA12" s="132">
        <f t="shared" si="15"/>
        <v>342820569</v>
      </c>
      <c r="AB12" s="132">
        <f t="shared" si="15"/>
        <v>519425104.6</v>
      </c>
      <c r="AC12" s="132">
        <f t="shared" si="15"/>
        <v>1038850209</v>
      </c>
      <c r="AD12" s="101"/>
      <c r="AE12" s="101"/>
    </row>
    <row r="13">
      <c r="A13" s="98"/>
      <c r="B13" s="127">
        <v>5.0</v>
      </c>
      <c r="C13" s="94">
        <f t="shared" ref="C13:N13" si="16">if(C$7=0, if($B13=1, C$6, IF(and($B13&gt;C$7,$B13&lt;=sum(C$8,C$7)),(C$5-C$6)/(C$8-1),"")),IF($B13=1,C$6,IF(and($B13&gt;C$7,$B13&lt;=sum(C$8,C$7)),(C$5-C$6)/C$8,"")))</f>
        <v>4500000</v>
      </c>
      <c r="D13" s="94" t="str">
        <f t="shared" si="16"/>
        <v/>
      </c>
      <c r="E13" s="94" t="str">
        <f t="shared" si="16"/>
        <v/>
      </c>
      <c r="F13" s="94" t="str">
        <f t="shared" si="16"/>
        <v/>
      </c>
      <c r="G13" s="94" t="str">
        <f t="shared" si="16"/>
        <v/>
      </c>
      <c r="H13" s="94" t="str">
        <f t="shared" si="16"/>
        <v/>
      </c>
      <c r="I13" s="94">
        <f t="shared" si="16"/>
        <v>2914285.714</v>
      </c>
      <c r="J13" s="94">
        <f t="shared" si="16"/>
        <v>2881355.932</v>
      </c>
      <c r="K13" s="94" t="str">
        <f t="shared" si="16"/>
        <v/>
      </c>
      <c r="L13" s="94">
        <f t="shared" si="16"/>
        <v>1818181.818</v>
      </c>
      <c r="M13" s="94" t="str">
        <f t="shared" si="16"/>
        <v/>
      </c>
      <c r="N13" s="94">
        <f t="shared" si="16"/>
        <v>1142857.143</v>
      </c>
      <c r="O13" s="128">
        <f t="shared" si="5"/>
        <v>13256680.61</v>
      </c>
      <c r="P13" s="129">
        <f t="shared" si="6"/>
        <v>1142857.143</v>
      </c>
      <c r="Q13" s="129">
        <f t="shared" si="10"/>
        <v>221026722.4</v>
      </c>
      <c r="R13" s="130">
        <f t="shared" si="7"/>
        <v>0.2210267224</v>
      </c>
      <c r="S13" s="133">
        <f t="shared" si="11"/>
        <v>0.01325668061</v>
      </c>
      <c r="T13" s="133">
        <f t="shared" si="12"/>
        <v>0.0638045817</v>
      </c>
      <c r="U13" s="132">
        <f t="shared" ref="U13:AC13" si="17">$Q13*U$3</f>
        <v>7293881.84</v>
      </c>
      <c r="V13" s="132">
        <f t="shared" si="17"/>
        <v>11051336.12</v>
      </c>
      <c r="W13" s="132">
        <f t="shared" si="17"/>
        <v>33154008.36</v>
      </c>
      <c r="X13" s="132">
        <f t="shared" si="17"/>
        <v>55256680.61</v>
      </c>
      <c r="Y13" s="132">
        <f t="shared" si="17"/>
        <v>110513361.2</v>
      </c>
      <c r="Z13" s="132">
        <f t="shared" si="17"/>
        <v>221026722.4</v>
      </c>
      <c r="AA13" s="132">
        <f t="shared" si="17"/>
        <v>364694092</v>
      </c>
      <c r="AB13" s="132">
        <f t="shared" si="17"/>
        <v>552566806.1</v>
      </c>
      <c r="AC13" s="132">
        <f t="shared" si="17"/>
        <v>1105133612</v>
      </c>
      <c r="AD13" s="101"/>
      <c r="AE13" s="101"/>
    </row>
    <row r="14">
      <c r="A14" s="98"/>
      <c r="B14" s="127">
        <v>6.0</v>
      </c>
      <c r="C14" s="94">
        <f t="shared" ref="C14:N14" si="18">if(C$7=0, if($B14=1, C$6, IF(and($B14&gt;C$7,$B14&lt;=sum(C$8,C$7)),(C$5-C$6)/(C$8-1),"")),IF($B14=1,C$6,IF(and($B14&gt;C$7,$B14&lt;=sum(C$8,C$7)),(C$5-C$6)/C$8,"")))</f>
        <v>4500000</v>
      </c>
      <c r="D14" s="94" t="str">
        <f t="shared" si="18"/>
        <v/>
      </c>
      <c r="E14" s="94" t="str">
        <f t="shared" si="18"/>
        <v/>
      </c>
      <c r="F14" s="94" t="str">
        <f t="shared" si="18"/>
        <v/>
      </c>
      <c r="G14" s="94" t="str">
        <f t="shared" si="18"/>
        <v/>
      </c>
      <c r="H14" s="94" t="str">
        <f t="shared" si="18"/>
        <v/>
      </c>
      <c r="I14" s="94">
        <f t="shared" si="18"/>
        <v>2914285.714</v>
      </c>
      <c r="J14" s="94">
        <f t="shared" si="18"/>
        <v>2881355.932</v>
      </c>
      <c r="K14" s="94" t="str">
        <f t="shared" si="18"/>
        <v/>
      </c>
      <c r="L14" s="94">
        <f t="shared" si="18"/>
        <v>1818181.818</v>
      </c>
      <c r="M14" s="94" t="str">
        <f t="shared" si="18"/>
        <v/>
      </c>
      <c r="N14" s="94">
        <f t="shared" si="18"/>
        <v>1142857.143</v>
      </c>
      <c r="O14" s="128">
        <f t="shared" si="5"/>
        <v>13256680.61</v>
      </c>
      <c r="P14" s="129">
        <f t="shared" si="6"/>
        <v>1142857.143</v>
      </c>
      <c r="Q14" s="129">
        <f t="shared" si="10"/>
        <v>234283403</v>
      </c>
      <c r="R14" s="130">
        <f t="shared" si="7"/>
        <v>0.234283403</v>
      </c>
      <c r="S14" s="133">
        <f t="shared" si="11"/>
        <v>0.01325668061</v>
      </c>
      <c r="T14" s="133">
        <f t="shared" si="12"/>
        <v>0.05997772786</v>
      </c>
      <c r="U14" s="132">
        <f t="shared" ref="U14:AC14" si="19">$Q14*U$3</f>
        <v>7731352.3</v>
      </c>
      <c r="V14" s="132">
        <f t="shared" si="19"/>
        <v>11714170.15</v>
      </c>
      <c r="W14" s="132">
        <f t="shared" si="19"/>
        <v>35142510.46</v>
      </c>
      <c r="X14" s="132">
        <f t="shared" si="19"/>
        <v>58570850.76</v>
      </c>
      <c r="Y14" s="132">
        <f t="shared" si="19"/>
        <v>117141701.5</v>
      </c>
      <c r="Z14" s="132">
        <f t="shared" si="19"/>
        <v>234283403</v>
      </c>
      <c r="AA14" s="132">
        <f t="shared" si="19"/>
        <v>386567615</v>
      </c>
      <c r="AB14" s="132">
        <f t="shared" si="19"/>
        <v>585708507.6</v>
      </c>
      <c r="AC14" s="132">
        <f t="shared" si="19"/>
        <v>1171417015</v>
      </c>
      <c r="AD14" s="101"/>
      <c r="AE14" s="101"/>
    </row>
    <row r="15">
      <c r="A15" s="98"/>
      <c r="B15" s="127">
        <v>7.0</v>
      </c>
      <c r="C15" s="94">
        <f t="shared" ref="C15:N15" si="20">if(C$7=0, if($B15=1, C$6, IF(and($B15&gt;C$7,$B15&lt;=sum(C$8,C$7)),(C$5-C$6)/(C$8-1),"")),IF($B15=1,C$6,IF(and($B15&gt;C$7,$B15&lt;=sum(C$8,C$7)),(C$5-C$6)/C$8,"")))</f>
        <v>4500000</v>
      </c>
      <c r="D15" s="94" t="str">
        <f t="shared" si="20"/>
        <v/>
      </c>
      <c r="E15" s="94" t="str">
        <f t="shared" si="20"/>
        <v/>
      </c>
      <c r="F15" s="94" t="str">
        <f t="shared" si="20"/>
        <v/>
      </c>
      <c r="G15" s="94" t="str">
        <f t="shared" si="20"/>
        <v/>
      </c>
      <c r="H15" s="94">
        <f t="shared" si="20"/>
        <v>2222222.222</v>
      </c>
      <c r="I15" s="94">
        <f t="shared" si="20"/>
        <v>2914285.714</v>
      </c>
      <c r="J15" s="94">
        <f t="shared" si="20"/>
        <v>2881355.932</v>
      </c>
      <c r="K15" s="94" t="str">
        <f t="shared" si="20"/>
        <v/>
      </c>
      <c r="L15" s="94">
        <f t="shared" si="20"/>
        <v>1818181.818</v>
      </c>
      <c r="M15" s="94" t="str">
        <f t="shared" si="20"/>
        <v/>
      </c>
      <c r="N15" s="94">
        <f t="shared" si="20"/>
        <v>1142857.143</v>
      </c>
      <c r="O15" s="128">
        <f t="shared" si="5"/>
        <v>15478902.83</v>
      </c>
      <c r="P15" s="129">
        <f t="shared" si="6"/>
        <v>3365079.365</v>
      </c>
      <c r="Q15" s="129">
        <f t="shared" si="10"/>
        <v>249762305.9</v>
      </c>
      <c r="R15" s="130">
        <f t="shared" si="7"/>
        <v>0.2497623059</v>
      </c>
      <c r="S15" s="133">
        <f t="shared" si="11"/>
        <v>0.01547890283</v>
      </c>
      <c r="T15" s="133">
        <f t="shared" si="12"/>
        <v>0.06606913947</v>
      </c>
      <c r="U15" s="132">
        <f t="shared" ref="U15:AC15" si="21">$Q15*U$3</f>
        <v>8242156.094</v>
      </c>
      <c r="V15" s="132">
        <f t="shared" si="21"/>
        <v>12488115.29</v>
      </c>
      <c r="W15" s="132">
        <f t="shared" si="21"/>
        <v>37464345.88</v>
      </c>
      <c r="X15" s="132">
        <f t="shared" si="21"/>
        <v>62440576.47</v>
      </c>
      <c r="Y15" s="132">
        <f t="shared" si="21"/>
        <v>124881152.9</v>
      </c>
      <c r="Z15" s="132">
        <f t="shared" si="21"/>
        <v>249762305.9</v>
      </c>
      <c r="AA15" s="132">
        <f t="shared" si="21"/>
        <v>412107804.7</v>
      </c>
      <c r="AB15" s="132">
        <f t="shared" si="21"/>
        <v>624405764.7</v>
      </c>
      <c r="AC15" s="132">
        <f t="shared" si="21"/>
        <v>1248811529</v>
      </c>
      <c r="AD15" s="101"/>
      <c r="AE15" s="101"/>
    </row>
    <row r="16">
      <c r="A16" s="98"/>
      <c r="B16" s="127">
        <v>8.0</v>
      </c>
      <c r="C16" s="94">
        <f t="shared" ref="C16:N16" si="22">if(C$7=0, if($B16=1, C$6, IF(and($B16&gt;C$7,$B16&lt;=sum(C$8,C$7)),(C$5-C$6)/(C$8-1),"")),IF($B16=1,C$6,IF(and($B16&gt;C$7,$B16&lt;=sum(C$8,C$7)),(C$5-C$6)/C$8,"")))</f>
        <v>4500000</v>
      </c>
      <c r="D16" s="94" t="str">
        <f t="shared" si="22"/>
        <v/>
      </c>
      <c r="E16" s="94" t="str">
        <f t="shared" si="22"/>
        <v/>
      </c>
      <c r="F16" s="94" t="str">
        <f t="shared" si="22"/>
        <v/>
      </c>
      <c r="G16" s="94" t="str">
        <f t="shared" si="22"/>
        <v/>
      </c>
      <c r="H16" s="94">
        <f t="shared" si="22"/>
        <v>2222222.222</v>
      </c>
      <c r="I16" s="94">
        <f t="shared" si="22"/>
        <v>2914285.714</v>
      </c>
      <c r="J16" s="94">
        <f t="shared" si="22"/>
        <v>2881355.932</v>
      </c>
      <c r="K16" s="94" t="str">
        <f t="shared" si="22"/>
        <v/>
      </c>
      <c r="L16" s="94">
        <f t="shared" si="22"/>
        <v>1818181.818</v>
      </c>
      <c r="M16" s="94" t="str">
        <f t="shared" si="22"/>
        <v/>
      </c>
      <c r="N16" s="94">
        <f t="shared" si="22"/>
        <v>1142857.143</v>
      </c>
      <c r="O16" s="128">
        <f t="shared" si="5"/>
        <v>15478902.83</v>
      </c>
      <c r="P16" s="129">
        <f t="shared" si="6"/>
        <v>3365079.365</v>
      </c>
      <c r="Q16" s="129">
        <f t="shared" si="10"/>
        <v>265241208.7</v>
      </c>
      <c r="R16" s="130">
        <f t="shared" si="7"/>
        <v>0.2652412087</v>
      </c>
      <c r="S16" s="133">
        <f t="shared" si="11"/>
        <v>0.01547890283</v>
      </c>
      <c r="T16" s="133">
        <f t="shared" si="12"/>
        <v>0.06197453525</v>
      </c>
      <c r="U16" s="132">
        <f t="shared" ref="U16:AC16" si="23">$Q16*U$3</f>
        <v>8752959.887</v>
      </c>
      <c r="V16" s="132">
        <f t="shared" si="23"/>
        <v>13262060.43</v>
      </c>
      <c r="W16" s="132">
        <f t="shared" si="23"/>
        <v>39786181.3</v>
      </c>
      <c r="X16" s="132">
        <f t="shared" si="23"/>
        <v>66310302.17</v>
      </c>
      <c r="Y16" s="132">
        <f t="shared" si="23"/>
        <v>132620604.3</v>
      </c>
      <c r="Z16" s="132">
        <f t="shared" si="23"/>
        <v>265241208.7</v>
      </c>
      <c r="AA16" s="132">
        <f t="shared" si="23"/>
        <v>437647994.4</v>
      </c>
      <c r="AB16" s="132">
        <f t="shared" si="23"/>
        <v>663103021.7</v>
      </c>
      <c r="AC16" s="132">
        <f t="shared" si="23"/>
        <v>1326206043</v>
      </c>
      <c r="AD16" s="101"/>
      <c r="AE16" s="101"/>
    </row>
    <row r="17">
      <c r="A17" s="98"/>
      <c r="B17" s="127">
        <v>9.0</v>
      </c>
      <c r="C17" s="94">
        <f t="shared" ref="C17:N17" si="24">if(C$7=0, if($B17=1, C$6, IF(and($B17&gt;C$7,$B17&lt;=sum(C$8,C$7)),(C$5-C$6)/(C$8-1),"")),IF($B17=1,C$6,IF(and($B17&gt;C$7,$B17&lt;=sum(C$8,C$7)),(C$5-C$6)/C$8,"")))</f>
        <v>4500000</v>
      </c>
      <c r="D17" s="94" t="str">
        <f t="shared" si="24"/>
        <v/>
      </c>
      <c r="E17" s="94" t="str">
        <f t="shared" si="24"/>
        <v/>
      </c>
      <c r="F17" s="94" t="str">
        <f t="shared" si="24"/>
        <v/>
      </c>
      <c r="G17" s="94" t="str">
        <f t="shared" si="24"/>
        <v/>
      </c>
      <c r="H17" s="94">
        <f t="shared" si="24"/>
        <v>2222222.222</v>
      </c>
      <c r="I17" s="94">
        <f t="shared" si="24"/>
        <v>2914285.714</v>
      </c>
      <c r="J17" s="94">
        <f t="shared" si="24"/>
        <v>2881355.932</v>
      </c>
      <c r="K17" s="94" t="str">
        <f t="shared" si="24"/>
        <v/>
      </c>
      <c r="L17" s="94">
        <f t="shared" si="24"/>
        <v>1818181.818</v>
      </c>
      <c r="M17" s="94" t="str">
        <f t="shared" si="24"/>
        <v/>
      </c>
      <c r="N17" s="94">
        <f t="shared" si="24"/>
        <v>1142857.143</v>
      </c>
      <c r="O17" s="128">
        <f t="shared" si="5"/>
        <v>15478902.83</v>
      </c>
      <c r="P17" s="129">
        <f t="shared" si="6"/>
        <v>3365079.365</v>
      </c>
      <c r="Q17" s="129">
        <f t="shared" si="10"/>
        <v>280720111.5</v>
      </c>
      <c r="R17" s="130">
        <f t="shared" si="7"/>
        <v>0.2807201115</v>
      </c>
      <c r="S17" s="133">
        <f t="shared" si="11"/>
        <v>0.01547890283</v>
      </c>
      <c r="T17" s="133">
        <f t="shared" si="12"/>
        <v>0.05835783552</v>
      </c>
      <c r="U17" s="132">
        <f t="shared" ref="U17:AC17" si="25">$Q17*U$3</f>
        <v>9263763.68</v>
      </c>
      <c r="V17" s="132">
        <f t="shared" si="25"/>
        <v>14036005.58</v>
      </c>
      <c r="W17" s="132">
        <f t="shared" si="25"/>
        <v>42108016.73</v>
      </c>
      <c r="X17" s="132">
        <f t="shared" si="25"/>
        <v>70180027.88</v>
      </c>
      <c r="Y17" s="132">
        <f t="shared" si="25"/>
        <v>140360055.8</v>
      </c>
      <c r="Z17" s="132">
        <f t="shared" si="25"/>
        <v>280720111.5</v>
      </c>
      <c r="AA17" s="132">
        <f t="shared" si="25"/>
        <v>463188184</v>
      </c>
      <c r="AB17" s="132">
        <f t="shared" si="25"/>
        <v>701800278.8</v>
      </c>
      <c r="AC17" s="132">
        <f t="shared" si="25"/>
        <v>1403600558</v>
      </c>
      <c r="AD17" s="101"/>
      <c r="AE17" s="101"/>
    </row>
    <row r="18">
      <c r="A18" s="98"/>
      <c r="B18" s="127">
        <v>10.0</v>
      </c>
      <c r="C18" s="94">
        <f t="shared" ref="C18:N18" si="26">if(C$7=0, if($B18=1, C$6, IF(and($B18&gt;C$7,$B18&lt;=sum(C$8,C$7)),(C$5-C$6)/(C$8-1),"")),IF($B18=1,C$6,IF(and($B18&gt;C$7,$B18&lt;=sum(C$8,C$7)),(C$5-C$6)/C$8,"")))</f>
        <v>4500000</v>
      </c>
      <c r="D18" s="94" t="str">
        <f t="shared" si="26"/>
        <v/>
      </c>
      <c r="E18" s="94" t="str">
        <f t="shared" si="26"/>
        <v/>
      </c>
      <c r="F18" s="94" t="str">
        <f t="shared" si="26"/>
        <v/>
      </c>
      <c r="G18" s="94" t="str">
        <f t="shared" si="26"/>
        <v/>
      </c>
      <c r="H18" s="94">
        <f t="shared" si="26"/>
        <v>2222222.222</v>
      </c>
      <c r="I18" s="94">
        <f t="shared" si="26"/>
        <v>2914285.714</v>
      </c>
      <c r="J18" s="94">
        <f t="shared" si="26"/>
        <v>2881355.932</v>
      </c>
      <c r="K18" s="94" t="str">
        <f t="shared" si="26"/>
        <v/>
      </c>
      <c r="L18" s="94">
        <f t="shared" si="26"/>
        <v>1818181.818</v>
      </c>
      <c r="M18" s="94" t="str">
        <f t="shared" si="26"/>
        <v/>
      </c>
      <c r="N18" s="94">
        <f t="shared" si="26"/>
        <v>1142857.143</v>
      </c>
      <c r="O18" s="128">
        <f t="shared" si="5"/>
        <v>15478902.83</v>
      </c>
      <c r="P18" s="129">
        <f t="shared" si="6"/>
        <v>3365079.365</v>
      </c>
      <c r="Q18" s="129">
        <f t="shared" si="10"/>
        <v>296199014.4</v>
      </c>
      <c r="R18" s="130">
        <f t="shared" si="7"/>
        <v>0.2961990144</v>
      </c>
      <c r="S18" s="133">
        <f t="shared" si="11"/>
        <v>0.01547890283</v>
      </c>
      <c r="T18" s="133">
        <f t="shared" si="12"/>
        <v>0.05513998532</v>
      </c>
      <c r="U18" s="132">
        <f t="shared" ref="U18:AC18" si="27">$Q18*U$3</f>
        <v>9774567.474</v>
      </c>
      <c r="V18" s="132">
        <f t="shared" si="27"/>
        <v>14809950.72</v>
      </c>
      <c r="W18" s="132">
        <f t="shared" si="27"/>
        <v>44429852.15</v>
      </c>
      <c r="X18" s="132">
        <f t="shared" si="27"/>
        <v>74049753.59</v>
      </c>
      <c r="Y18" s="132">
        <f t="shared" si="27"/>
        <v>148099507.2</v>
      </c>
      <c r="Z18" s="132">
        <f t="shared" si="27"/>
        <v>296199014.4</v>
      </c>
      <c r="AA18" s="132">
        <f t="shared" si="27"/>
        <v>488728373.7</v>
      </c>
      <c r="AB18" s="132">
        <f t="shared" si="27"/>
        <v>740497535.9</v>
      </c>
      <c r="AC18" s="132">
        <f t="shared" si="27"/>
        <v>1480995072</v>
      </c>
      <c r="AD18" s="101"/>
      <c r="AE18" s="101"/>
    </row>
    <row r="19">
      <c r="A19" s="98"/>
      <c r="B19" s="127">
        <v>11.0</v>
      </c>
      <c r="C19" s="94">
        <f t="shared" ref="C19:N19" si="28">if(C$7=0, if($B19=1, C$6, IF(and($B19&gt;C$7,$B19&lt;=sum(C$8,C$7)),(C$5-C$6)/(C$8-1),"")),IF($B19=1,C$6,IF(and($B19&gt;C$7,$B19&lt;=sum(C$8,C$7)),(C$5-C$6)/C$8,"")))</f>
        <v>4500000</v>
      </c>
      <c r="D19" s="94" t="str">
        <f t="shared" si="28"/>
        <v/>
      </c>
      <c r="E19" s="94" t="str">
        <f t="shared" si="28"/>
        <v/>
      </c>
      <c r="F19" s="94" t="str">
        <f t="shared" si="28"/>
        <v/>
      </c>
      <c r="G19" s="94" t="str">
        <f t="shared" si="28"/>
        <v/>
      </c>
      <c r="H19" s="94">
        <f t="shared" si="28"/>
        <v>2222222.222</v>
      </c>
      <c r="I19" s="94">
        <f t="shared" si="28"/>
        <v>2914285.714</v>
      </c>
      <c r="J19" s="94">
        <f t="shared" si="28"/>
        <v>2881355.932</v>
      </c>
      <c r="K19" s="94" t="str">
        <f t="shared" si="28"/>
        <v/>
      </c>
      <c r="L19" s="94">
        <f t="shared" si="28"/>
        <v>1818181.818</v>
      </c>
      <c r="M19" s="94" t="str">
        <f t="shared" si="28"/>
        <v/>
      </c>
      <c r="N19" s="94">
        <f t="shared" si="28"/>
        <v>1142857.143</v>
      </c>
      <c r="O19" s="128">
        <f t="shared" si="5"/>
        <v>15478902.83</v>
      </c>
      <c r="P19" s="129">
        <f t="shared" si="6"/>
        <v>3365079.365</v>
      </c>
      <c r="Q19" s="129">
        <f t="shared" si="10"/>
        <v>311677917.2</v>
      </c>
      <c r="R19" s="130">
        <f t="shared" si="7"/>
        <v>0.3116779172</v>
      </c>
      <c r="S19" s="133">
        <f t="shared" si="11"/>
        <v>0.01547890283</v>
      </c>
      <c r="T19" s="133">
        <f t="shared" si="12"/>
        <v>0.05225845489</v>
      </c>
      <c r="U19" s="132">
        <f t="shared" ref="U19:AC19" si="29">$Q19*U$3</f>
        <v>10285371.27</v>
      </c>
      <c r="V19" s="132">
        <f t="shared" si="29"/>
        <v>15583895.86</v>
      </c>
      <c r="W19" s="132">
        <f t="shared" si="29"/>
        <v>46751687.58</v>
      </c>
      <c r="X19" s="132">
        <f t="shared" si="29"/>
        <v>77919479.3</v>
      </c>
      <c r="Y19" s="132">
        <f t="shared" si="29"/>
        <v>155838958.6</v>
      </c>
      <c r="Z19" s="132">
        <f t="shared" si="29"/>
        <v>311677917.2</v>
      </c>
      <c r="AA19" s="132">
        <f t="shared" si="29"/>
        <v>514268563.4</v>
      </c>
      <c r="AB19" s="132">
        <f t="shared" si="29"/>
        <v>779194793</v>
      </c>
      <c r="AC19" s="132">
        <f t="shared" si="29"/>
        <v>1558389586</v>
      </c>
      <c r="AD19" s="101"/>
      <c r="AE19" s="101"/>
    </row>
    <row r="20">
      <c r="A20" s="98"/>
      <c r="B20" s="127">
        <v>12.0</v>
      </c>
      <c r="C20" s="94">
        <f t="shared" ref="C20:N20" si="30">if(C$7=0, if($B20=1, C$6, IF(and($B20&gt;C$7,$B20&lt;=sum(C$8,C$7)),(C$5-C$6)/(C$8-1),"")),IF($B20=1,C$6,IF(and($B20&gt;C$7,$B20&lt;=sum(C$8,C$7)),(C$5-C$6)/C$8,"")))</f>
        <v>4500000</v>
      </c>
      <c r="D20" s="94" t="str">
        <f t="shared" si="30"/>
        <v/>
      </c>
      <c r="E20" s="94" t="str">
        <f t="shared" si="30"/>
        <v/>
      </c>
      <c r="F20" s="94" t="str">
        <f t="shared" si="30"/>
        <v/>
      </c>
      <c r="G20" s="94" t="str">
        <f t="shared" si="30"/>
        <v/>
      </c>
      <c r="H20" s="94">
        <f t="shared" si="30"/>
        <v>2222222.222</v>
      </c>
      <c r="I20" s="94">
        <f t="shared" si="30"/>
        <v>2914285.714</v>
      </c>
      <c r="J20" s="94">
        <f t="shared" si="30"/>
        <v>2881355.932</v>
      </c>
      <c r="K20" s="94" t="str">
        <f t="shared" si="30"/>
        <v/>
      </c>
      <c r="L20" s="94">
        <f t="shared" si="30"/>
        <v>1818181.818</v>
      </c>
      <c r="M20" s="94" t="str">
        <f t="shared" si="30"/>
        <v/>
      </c>
      <c r="N20" s="94">
        <f t="shared" si="30"/>
        <v>1142857.143</v>
      </c>
      <c r="O20" s="128">
        <f t="shared" si="5"/>
        <v>15478902.83</v>
      </c>
      <c r="P20" s="129">
        <f t="shared" si="6"/>
        <v>3365079.365</v>
      </c>
      <c r="Q20" s="129">
        <f t="shared" si="10"/>
        <v>327156820</v>
      </c>
      <c r="R20" s="130">
        <f t="shared" si="7"/>
        <v>0.32715682</v>
      </c>
      <c r="S20" s="133">
        <f t="shared" si="11"/>
        <v>0.01547890283</v>
      </c>
      <c r="T20" s="133">
        <f t="shared" si="12"/>
        <v>0.04966313613</v>
      </c>
      <c r="U20" s="132">
        <f t="shared" ref="U20:AC20" si="31">$Q20*U$3</f>
        <v>10796175.06</v>
      </c>
      <c r="V20" s="132">
        <f t="shared" si="31"/>
        <v>16357841</v>
      </c>
      <c r="W20" s="132">
        <f t="shared" si="31"/>
        <v>49073523</v>
      </c>
      <c r="X20" s="132">
        <f t="shared" si="31"/>
        <v>81789205</v>
      </c>
      <c r="Y20" s="132">
        <f t="shared" si="31"/>
        <v>163578410</v>
      </c>
      <c r="Z20" s="132">
        <f t="shared" si="31"/>
        <v>327156820</v>
      </c>
      <c r="AA20" s="132">
        <f t="shared" si="31"/>
        <v>539808753</v>
      </c>
      <c r="AB20" s="132">
        <f t="shared" si="31"/>
        <v>817892050</v>
      </c>
      <c r="AC20" s="132">
        <f t="shared" si="31"/>
        <v>1635784100</v>
      </c>
      <c r="AD20" s="101"/>
      <c r="AE20" s="101"/>
    </row>
    <row r="21">
      <c r="A21" s="98"/>
      <c r="B21" s="127">
        <v>13.0</v>
      </c>
      <c r="C21" s="94">
        <f t="shared" ref="C21:N21" si="32">if(C$7=0, if($B21=1, C$6, IF(and($B21&gt;C$7,$B21&lt;=sum(C$8,C$7)),(C$5-C$6)/(C$8-1),"")),IF($B21=1,C$6,IF(and($B21&gt;C$7,$B21&lt;=sum(C$8,C$7)),(C$5-C$6)/C$8,"")))</f>
        <v>4500000</v>
      </c>
      <c r="D21" s="94" t="str">
        <f t="shared" si="32"/>
        <v/>
      </c>
      <c r="E21" s="94" t="str">
        <f t="shared" si="32"/>
        <v/>
      </c>
      <c r="F21" s="94">
        <f t="shared" si="32"/>
        <v>4722222.222</v>
      </c>
      <c r="G21" s="94">
        <f t="shared" si="32"/>
        <v>1111111.111</v>
      </c>
      <c r="H21" s="94">
        <f t="shared" si="32"/>
        <v>2222222.222</v>
      </c>
      <c r="I21" s="94">
        <f t="shared" si="32"/>
        <v>2914285.714</v>
      </c>
      <c r="J21" s="94">
        <f t="shared" si="32"/>
        <v>2881355.932</v>
      </c>
      <c r="K21" s="94">
        <f t="shared" si="32"/>
        <v>2500000</v>
      </c>
      <c r="L21" s="94" t="str">
        <f t="shared" si="32"/>
        <v/>
      </c>
      <c r="M21" s="94" t="str">
        <f t="shared" si="32"/>
        <v/>
      </c>
      <c r="N21" s="94">
        <f t="shared" si="32"/>
        <v>1142857.143</v>
      </c>
      <c r="O21" s="128">
        <f t="shared" si="5"/>
        <v>21994054.34</v>
      </c>
      <c r="P21" s="129">
        <f t="shared" si="6"/>
        <v>9198412.698</v>
      </c>
      <c r="Q21" s="129">
        <f t="shared" si="10"/>
        <v>349150874.4</v>
      </c>
      <c r="R21" s="130">
        <f t="shared" si="7"/>
        <v>0.3491508744</v>
      </c>
      <c r="S21" s="133">
        <f t="shared" si="11"/>
        <v>0.02199405434</v>
      </c>
      <c r="T21" s="133">
        <f t="shared" si="12"/>
        <v>0.06722786443</v>
      </c>
      <c r="U21" s="132">
        <f t="shared" ref="U21:AC21" si="33">$Q21*U$3</f>
        <v>11521978.85</v>
      </c>
      <c r="V21" s="132">
        <f t="shared" si="33"/>
        <v>17457543.72</v>
      </c>
      <c r="W21" s="132">
        <f t="shared" si="33"/>
        <v>52372631.15</v>
      </c>
      <c r="X21" s="132">
        <f t="shared" si="33"/>
        <v>87287718.59</v>
      </c>
      <c r="Y21" s="132">
        <f t="shared" si="33"/>
        <v>174575437.2</v>
      </c>
      <c r="Z21" s="132">
        <f t="shared" si="33"/>
        <v>349150874.4</v>
      </c>
      <c r="AA21" s="132">
        <f t="shared" si="33"/>
        <v>576098942.7</v>
      </c>
      <c r="AB21" s="132">
        <f t="shared" si="33"/>
        <v>872877185.9</v>
      </c>
      <c r="AC21" s="132">
        <f t="shared" si="33"/>
        <v>1745754372</v>
      </c>
      <c r="AD21" s="101"/>
      <c r="AE21" s="101"/>
    </row>
    <row r="22">
      <c r="A22" s="98"/>
      <c r="B22" s="127">
        <v>14.0</v>
      </c>
      <c r="C22" s="94">
        <f t="shared" ref="C22:N22" si="34">if(C$7=0, if($B22=1, C$6, IF(and($B22&gt;C$7,$B22&lt;=sum(C$8,C$7)),(C$5-C$6)/(C$8-1),"")),IF($B22=1,C$6,IF(and($B22&gt;C$7,$B22&lt;=sum(C$8,C$7)),(C$5-C$6)/C$8,"")))</f>
        <v>4500000</v>
      </c>
      <c r="D22" s="94" t="str">
        <f t="shared" si="34"/>
        <v/>
      </c>
      <c r="E22" s="94" t="str">
        <f t="shared" si="34"/>
        <v/>
      </c>
      <c r="F22" s="94">
        <f t="shared" si="34"/>
        <v>4722222.222</v>
      </c>
      <c r="G22" s="94">
        <f t="shared" si="34"/>
        <v>1111111.111</v>
      </c>
      <c r="H22" s="94">
        <f t="shared" si="34"/>
        <v>2222222.222</v>
      </c>
      <c r="I22" s="94">
        <f t="shared" si="34"/>
        <v>2914285.714</v>
      </c>
      <c r="J22" s="94">
        <f t="shared" si="34"/>
        <v>2881355.932</v>
      </c>
      <c r="K22" s="94">
        <f t="shared" si="34"/>
        <v>2500000</v>
      </c>
      <c r="L22" s="94" t="str">
        <f t="shared" si="34"/>
        <v/>
      </c>
      <c r="M22" s="94" t="str">
        <f t="shared" si="34"/>
        <v/>
      </c>
      <c r="N22" s="94">
        <f t="shared" si="34"/>
        <v>1142857.143</v>
      </c>
      <c r="O22" s="128">
        <f t="shared" si="5"/>
        <v>21994054.34</v>
      </c>
      <c r="P22" s="129">
        <f t="shared" si="6"/>
        <v>9198412.698</v>
      </c>
      <c r="Q22" s="129">
        <f t="shared" si="10"/>
        <v>371144928.7</v>
      </c>
      <c r="R22" s="130">
        <f t="shared" si="7"/>
        <v>0.3711449287</v>
      </c>
      <c r="S22" s="133">
        <f t="shared" si="11"/>
        <v>0.02199405434</v>
      </c>
      <c r="T22" s="133">
        <f t="shared" si="12"/>
        <v>0.06299298086</v>
      </c>
      <c r="U22" s="132">
        <f t="shared" ref="U22:AC22" si="35">$Q22*U$3</f>
        <v>12247782.65</v>
      </c>
      <c r="V22" s="132">
        <f t="shared" si="35"/>
        <v>18557246.44</v>
      </c>
      <c r="W22" s="132">
        <f t="shared" si="35"/>
        <v>55671739.31</v>
      </c>
      <c r="X22" s="132">
        <f t="shared" si="35"/>
        <v>92786232.18</v>
      </c>
      <c r="Y22" s="132">
        <f t="shared" si="35"/>
        <v>185572464.4</v>
      </c>
      <c r="Z22" s="132">
        <f t="shared" si="35"/>
        <v>371144928.7</v>
      </c>
      <c r="AA22" s="132">
        <f t="shared" si="35"/>
        <v>612389132.4</v>
      </c>
      <c r="AB22" s="132">
        <f t="shared" si="35"/>
        <v>927862321.8</v>
      </c>
      <c r="AC22" s="132">
        <f t="shared" si="35"/>
        <v>1855724644</v>
      </c>
      <c r="AD22" s="101"/>
      <c r="AE22" s="101"/>
    </row>
    <row r="23">
      <c r="A23" s="98"/>
      <c r="B23" s="127">
        <v>15.0</v>
      </c>
      <c r="C23" s="94">
        <f t="shared" ref="C23:N23" si="36">if(C$7=0, if($B23=1, C$6, IF(and($B23&gt;C$7,$B23&lt;=sum(C$8,C$7)),(C$5-C$6)/(C$8-1),"")),IF($B23=1,C$6,IF(and($B23&gt;C$7,$B23&lt;=sum(C$8,C$7)),(C$5-C$6)/C$8,"")))</f>
        <v>4500000</v>
      </c>
      <c r="D23" s="94" t="str">
        <f t="shared" si="36"/>
        <v/>
      </c>
      <c r="E23" s="94" t="str">
        <f t="shared" si="36"/>
        <v/>
      </c>
      <c r="F23" s="94">
        <f t="shared" si="36"/>
        <v>4722222.222</v>
      </c>
      <c r="G23" s="94">
        <f t="shared" si="36"/>
        <v>1111111.111</v>
      </c>
      <c r="H23" s="94">
        <f t="shared" si="36"/>
        <v>2222222.222</v>
      </c>
      <c r="I23" s="94">
        <f t="shared" si="36"/>
        <v>2914285.714</v>
      </c>
      <c r="J23" s="94">
        <f t="shared" si="36"/>
        <v>2881355.932</v>
      </c>
      <c r="K23" s="94">
        <f t="shared" si="36"/>
        <v>2500000</v>
      </c>
      <c r="L23" s="94" t="str">
        <f t="shared" si="36"/>
        <v/>
      </c>
      <c r="M23" s="94" t="str">
        <f t="shared" si="36"/>
        <v/>
      </c>
      <c r="N23" s="94">
        <f t="shared" si="36"/>
        <v>1142857.143</v>
      </c>
      <c r="O23" s="128">
        <f t="shared" si="5"/>
        <v>21994054.34</v>
      </c>
      <c r="P23" s="129">
        <f t="shared" si="6"/>
        <v>9198412.698</v>
      </c>
      <c r="Q23" s="129">
        <f t="shared" si="10"/>
        <v>393138983.1</v>
      </c>
      <c r="R23" s="130">
        <f t="shared" si="7"/>
        <v>0.3931389831</v>
      </c>
      <c r="S23" s="133">
        <f t="shared" si="11"/>
        <v>0.02199405434</v>
      </c>
      <c r="T23" s="133">
        <f t="shared" si="12"/>
        <v>0.05926001582</v>
      </c>
      <c r="U23" s="132">
        <f t="shared" ref="U23:AC23" si="37">$Q23*U$3</f>
        <v>12973586.44</v>
      </c>
      <c r="V23" s="132">
        <f t="shared" si="37"/>
        <v>19656949.15</v>
      </c>
      <c r="W23" s="132">
        <f t="shared" si="37"/>
        <v>58970847.46</v>
      </c>
      <c r="X23" s="132">
        <f t="shared" si="37"/>
        <v>98284745.76</v>
      </c>
      <c r="Y23" s="132">
        <f t="shared" si="37"/>
        <v>196569491.5</v>
      </c>
      <c r="Z23" s="132">
        <f t="shared" si="37"/>
        <v>393138983.1</v>
      </c>
      <c r="AA23" s="132">
        <f t="shared" si="37"/>
        <v>648679322</v>
      </c>
      <c r="AB23" s="132">
        <f t="shared" si="37"/>
        <v>982847457.6</v>
      </c>
      <c r="AC23" s="132">
        <f t="shared" si="37"/>
        <v>1965694915</v>
      </c>
      <c r="AD23" s="101"/>
      <c r="AE23" s="101"/>
    </row>
    <row r="24">
      <c r="A24" s="98"/>
      <c r="B24" s="127">
        <v>16.0</v>
      </c>
      <c r="C24" s="94">
        <f t="shared" ref="C24:N24" si="38">if(C$7=0, if($B24=1, C$6, IF(and($B24&gt;C$7,$B24&lt;=sum(C$8,C$7)),(C$5-C$6)/(C$8-1),"")),IF($B24=1,C$6,IF(and($B24&gt;C$7,$B24&lt;=sum(C$8,C$7)),(C$5-C$6)/C$8,"")))</f>
        <v>4500000</v>
      </c>
      <c r="D24" s="94" t="str">
        <f t="shared" si="38"/>
        <v/>
      </c>
      <c r="E24" s="94" t="str">
        <f t="shared" si="38"/>
        <v/>
      </c>
      <c r="F24" s="94">
        <f t="shared" si="38"/>
        <v>4722222.222</v>
      </c>
      <c r="G24" s="94">
        <f t="shared" si="38"/>
        <v>1111111.111</v>
      </c>
      <c r="H24" s="94">
        <f t="shared" si="38"/>
        <v>2222222.222</v>
      </c>
      <c r="I24" s="94">
        <f t="shared" si="38"/>
        <v>2914285.714</v>
      </c>
      <c r="J24" s="94">
        <f t="shared" si="38"/>
        <v>2881355.932</v>
      </c>
      <c r="K24" s="94">
        <f t="shared" si="38"/>
        <v>2500000</v>
      </c>
      <c r="L24" s="94" t="str">
        <f t="shared" si="38"/>
        <v/>
      </c>
      <c r="M24" s="94" t="str">
        <f t="shared" si="38"/>
        <v/>
      </c>
      <c r="N24" s="94">
        <f t="shared" si="38"/>
        <v>1142857.143</v>
      </c>
      <c r="O24" s="128">
        <f t="shared" si="5"/>
        <v>21994054.34</v>
      </c>
      <c r="P24" s="129">
        <f t="shared" si="6"/>
        <v>9198412.698</v>
      </c>
      <c r="Q24" s="129">
        <f t="shared" si="10"/>
        <v>415133037.4</v>
      </c>
      <c r="R24" s="130">
        <f t="shared" si="7"/>
        <v>0.4151330374</v>
      </c>
      <c r="S24" s="133">
        <f t="shared" si="11"/>
        <v>0.02199405434</v>
      </c>
      <c r="T24" s="133">
        <f t="shared" si="12"/>
        <v>0.05594473022</v>
      </c>
      <c r="U24" s="132">
        <f t="shared" ref="U24:AC24" si="39">$Q24*U$3</f>
        <v>13699390.23</v>
      </c>
      <c r="V24" s="132">
        <f t="shared" si="39"/>
        <v>20756651.87</v>
      </c>
      <c r="W24" s="132">
        <f t="shared" si="39"/>
        <v>62269955.61</v>
      </c>
      <c r="X24" s="132">
        <f t="shared" si="39"/>
        <v>103783259.3</v>
      </c>
      <c r="Y24" s="132">
        <f t="shared" si="39"/>
        <v>207566518.7</v>
      </c>
      <c r="Z24" s="132">
        <f t="shared" si="39"/>
        <v>415133037.4</v>
      </c>
      <c r="AA24" s="132">
        <f t="shared" si="39"/>
        <v>684969511.7</v>
      </c>
      <c r="AB24" s="132">
        <f t="shared" si="39"/>
        <v>1037832593</v>
      </c>
      <c r="AC24" s="132">
        <f t="shared" si="39"/>
        <v>2075665187</v>
      </c>
      <c r="AD24" s="101"/>
      <c r="AE24" s="101"/>
    </row>
    <row r="25">
      <c r="A25" s="98"/>
      <c r="B25" s="127">
        <v>17.0</v>
      </c>
      <c r="C25" s="94">
        <f t="shared" ref="C25:N25" si="40">if(C$7=0, if($B25=1, C$6, IF(and($B25&gt;C$7,$B25&lt;=sum(C$8,C$7)),(C$5-C$6)/(C$8-1),"")),IF($B25=1,C$6,IF(and($B25&gt;C$7,$B25&lt;=sum(C$8,C$7)),(C$5-C$6)/C$8,"")))</f>
        <v>4500000</v>
      </c>
      <c r="D25" s="94" t="str">
        <f t="shared" si="40"/>
        <v/>
      </c>
      <c r="E25" s="94" t="str">
        <f t="shared" si="40"/>
        <v/>
      </c>
      <c r="F25" s="94">
        <f t="shared" si="40"/>
        <v>4722222.222</v>
      </c>
      <c r="G25" s="94">
        <f t="shared" si="40"/>
        <v>1111111.111</v>
      </c>
      <c r="H25" s="94">
        <f t="shared" si="40"/>
        <v>2222222.222</v>
      </c>
      <c r="I25" s="94">
        <f t="shared" si="40"/>
        <v>2914285.714</v>
      </c>
      <c r="J25" s="94">
        <f t="shared" si="40"/>
        <v>2881355.932</v>
      </c>
      <c r="K25" s="94">
        <f t="shared" si="40"/>
        <v>2500000</v>
      </c>
      <c r="L25" s="94" t="str">
        <f t="shared" si="40"/>
        <v/>
      </c>
      <c r="M25" s="94" t="str">
        <f t="shared" si="40"/>
        <v/>
      </c>
      <c r="N25" s="94">
        <f t="shared" si="40"/>
        <v>1142857.143</v>
      </c>
      <c r="O25" s="128">
        <f t="shared" si="5"/>
        <v>21994054.34</v>
      </c>
      <c r="P25" s="129">
        <f t="shared" si="6"/>
        <v>9198412.698</v>
      </c>
      <c r="Q25" s="129">
        <f t="shared" si="10"/>
        <v>437127091.7</v>
      </c>
      <c r="R25" s="130">
        <f t="shared" si="7"/>
        <v>0.4371270917</v>
      </c>
      <c r="S25" s="133">
        <f t="shared" si="11"/>
        <v>0.02199405434</v>
      </c>
      <c r="T25" s="133">
        <f t="shared" si="12"/>
        <v>0.05298073717</v>
      </c>
      <c r="U25" s="132">
        <f t="shared" ref="U25:AC25" si="41">$Q25*U$3</f>
        <v>14425194.03</v>
      </c>
      <c r="V25" s="132">
        <f t="shared" si="41"/>
        <v>21856354.59</v>
      </c>
      <c r="W25" s="132">
        <f t="shared" si="41"/>
        <v>65569063.76</v>
      </c>
      <c r="X25" s="132">
        <f t="shared" si="41"/>
        <v>109281772.9</v>
      </c>
      <c r="Y25" s="132">
        <f t="shared" si="41"/>
        <v>218563545.9</v>
      </c>
      <c r="Z25" s="132">
        <f t="shared" si="41"/>
        <v>437127091.7</v>
      </c>
      <c r="AA25" s="132">
        <f t="shared" si="41"/>
        <v>721259701.4</v>
      </c>
      <c r="AB25" s="132">
        <f t="shared" si="41"/>
        <v>1092817729</v>
      </c>
      <c r="AC25" s="132">
        <f t="shared" si="41"/>
        <v>2185635459</v>
      </c>
      <c r="AD25" s="101"/>
      <c r="AE25" s="101"/>
    </row>
    <row r="26">
      <c r="A26" s="98"/>
      <c r="B26" s="127">
        <v>18.0</v>
      </c>
      <c r="C26" s="94">
        <f t="shared" ref="C26:N26" si="42">if(C$7=0, if($B26=1, C$6, IF(and($B26&gt;C$7,$B26&lt;=sum(C$8,C$7)),(C$5-C$6)/(C$8-1),"")),IF($B26=1,C$6,IF(and($B26&gt;C$7,$B26&lt;=sum(C$8,C$7)),(C$5-C$6)/C$8,"")))</f>
        <v>4500000</v>
      </c>
      <c r="D26" s="94" t="str">
        <f t="shared" si="42"/>
        <v/>
      </c>
      <c r="E26" s="94" t="str">
        <f t="shared" si="42"/>
        <v/>
      </c>
      <c r="F26" s="94">
        <f t="shared" si="42"/>
        <v>4722222.222</v>
      </c>
      <c r="G26" s="94">
        <f t="shared" si="42"/>
        <v>1111111.111</v>
      </c>
      <c r="H26" s="94">
        <f t="shared" si="42"/>
        <v>2222222.222</v>
      </c>
      <c r="I26" s="94">
        <f t="shared" si="42"/>
        <v>2914285.714</v>
      </c>
      <c r="J26" s="94">
        <f t="shared" si="42"/>
        <v>2881355.932</v>
      </c>
      <c r="K26" s="94">
        <f t="shared" si="42"/>
        <v>2500000</v>
      </c>
      <c r="L26" s="94" t="str">
        <f t="shared" si="42"/>
        <v/>
      </c>
      <c r="M26" s="94" t="str">
        <f t="shared" si="42"/>
        <v/>
      </c>
      <c r="N26" s="94">
        <f t="shared" si="42"/>
        <v>1142857.143</v>
      </c>
      <c r="O26" s="128">
        <f t="shared" si="5"/>
        <v>21994054.34</v>
      </c>
      <c r="P26" s="129">
        <f t="shared" si="6"/>
        <v>9198412.698</v>
      </c>
      <c r="Q26" s="129">
        <f t="shared" si="10"/>
        <v>459121146.1</v>
      </c>
      <c r="R26" s="130">
        <f t="shared" si="7"/>
        <v>0.4591211461</v>
      </c>
      <c r="S26" s="133">
        <f t="shared" si="11"/>
        <v>0.02199405434</v>
      </c>
      <c r="T26" s="133">
        <f t="shared" si="12"/>
        <v>0.05031501081</v>
      </c>
      <c r="U26" s="132">
        <f t="shared" ref="U26:AC26" si="43">$Q26*U$3</f>
        <v>15150997.82</v>
      </c>
      <c r="V26" s="132">
        <f t="shared" si="43"/>
        <v>22956057.3</v>
      </c>
      <c r="W26" s="132">
        <f t="shared" si="43"/>
        <v>68868171.91</v>
      </c>
      <c r="X26" s="132">
        <f t="shared" si="43"/>
        <v>114780286.5</v>
      </c>
      <c r="Y26" s="132">
        <f t="shared" si="43"/>
        <v>229560573</v>
      </c>
      <c r="Z26" s="132">
        <f t="shared" si="43"/>
        <v>459121146.1</v>
      </c>
      <c r="AA26" s="132">
        <f t="shared" si="43"/>
        <v>757549891</v>
      </c>
      <c r="AB26" s="132">
        <f t="shared" si="43"/>
        <v>1147802865</v>
      </c>
      <c r="AC26" s="132">
        <f t="shared" si="43"/>
        <v>2295605730</v>
      </c>
      <c r="AD26" s="101"/>
      <c r="AE26" s="101"/>
    </row>
    <row r="27">
      <c r="A27" s="98"/>
      <c r="B27" s="127">
        <v>19.0</v>
      </c>
      <c r="C27" s="94">
        <f t="shared" ref="C27:N27" si="44">if(C$7=0, if($B27=1, C$6, IF(and($B27&gt;C$7,$B27&lt;=sum(C$8,C$7)),(C$5-C$6)/(C$8-1),"")),IF($B27=1,C$6,IF(and($B27&gt;C$7,$B27&lt;=sum(C$8,C$7)),(C$5-C$6)/C$8,"")))</f>
        <v>4500000</v>
      </c>
      <c r="D27" s="94" t="str">
        <f t="shared" si="44"/>
        <v/>
      </c>
      <c r="E27" s="94" t="str">
        <f t="shared" si="44"/>
        <v/>
      </c>
      <c r="F27" s="94">
        <f t="shared" si="44"/>
        <v>4722222.222</v>
      </c>
      <c r="G27" s="94">
        <f t="shared" si="44"/>
        <v>1111111.111</v>
      </c>
      <c r="H27" s="94">
        <f t="shared" si="44"/>
        <v>2222222.222</v>
      </c>
      <c r="I27" s="94">
        <f t="shared" si="44"/>
        <v>2914285.714</v>
      </c>
      <c r="J27" s="94">
        <f t="shared" si="44"/>
        <v>2881355.932</v>
      </c>
      <c r="K27" s="94">
        <f t="shared" si="44"/>
        <v>2500000</v>
      </c>
      <c r="L27" s="94" t="str">
        <f t="shared" si="44"/>
        <v/>
      </c>
      <c r="M27" s="94" t="str">
        <f t="shared" si="44"/>
        <v/>
      </c>
      <c r="N27" s="94">
        <f t="shared" si="44"/>
        <v>1142857.143</v>
      </c>
      <c r="O27" s="128">
        <f t="shared" si="5"/>
        <v>21994054.34</v>
      </c>
      <c r="P27" s="129">
        <f t="shared" si="6"/>
        <v>9198412.698</v>
      </c>
      <c r="Q27" s="129">
        <f t="shared" si="10"/>
        <v>481115200.4</v>
      </c>
      <c r="R27" s="130">
        <f t="shared" si="7"/>
        <v>0.4811152004</v>
      </c>
      <c r="S27" s="133">
        <f t="shared" si="11"/>
        <v>0.02199405434</v>
      </c>
      <c r="T27" s="133">
        <f t="shared" si="12"/>
        <v>0.04790468601</v>
      </c>
      <c r="U27" s="132">
        <f t="shared" ref="U27:AC27" si="45">$Q27*U$3</f>
        <v>15876801.61</v>
      </c>
      <c r="V27" s="132">
        <f t="shared" si="45"/>
        <v>24055760.02</v>
      </c>
      <c r="W27" s="132">
        <f t="shared" si="45"/>
        <v>72167280.06</v>
      </c>
      <c r="X27" s="132">
        <f t="shared" si="45"/>
        <v>120278800.1</v>
      </c>
      <c r="Y27" s="132">
        <f t="shared" si="45"/>
        <v>240557600.2</v>
      </c>
      <c r="Z27" s="132">
        <f t="shared" si="45"/>
        <v>481115200.4</v>
      </c>
      <c r="AA27" s="132">
        <f t="shared" si="45"/>
        <v>793840080.7</v>
      </c>
      <c r="AB27" s="132">
        <f t="shared" si="45"/>
        <v>1202788001</v>
      </c>
      <c r="AC27" s="132">
        <f t="shared" si="45"/>
        <v>2405576002</v>
      </c>
      <c r="AD27" s="101"/>
      <c r="AE27" s="101"/>
    </row>
    <row r="28">
      <c r="A28" s="98"/>
      <c r="B28" s="127">
        <v>20.0</v>
      </c>
      <c r="C28" s="94">
        <f t="shared" ref="C28:N28" si="46">if(C$7=0, if($B28=1, C$6, IF(and($B28&gt;C$7,$B28&lt;=sum(C$8,C$7)),(C$5-C$6)/(C$8-1),"")),IF($B28=1,C$6,IF(and($B28&gt;C$7,$B28&lt;=sum(C$8,C$7)),(C$5-C$6)/C$8,"")))</f>
        <v>4500000</v>
      </c>
      <c r="D28" s="94" t="str">
        <f t="shared" si="46"/>
        <v/>
      </c>
      <c r="E28" s="94" t="str">
        <f t="shared" si="46"/>
        <v/>
      </c>
      <c r="F28" s="94">
        <f t="shared" si="46"/>
        <v>4722222.222</v>
      </c>
      <c r="G28" s="94">
        <f t="shared" si="46"/>
        <v>1111111.111</v>
      </c>
      <c r="H28" s="94">
        <f t="shared" si="46"/>
        <v>2222222.222</v>
      </c>
      <c r="I28" s="94">
        <f t="shared" si="46"/>
        <v>2914285.714</v>
      </c>
      <c r="J28" s="94">
        <f t="shared" si="46"/>
        <v>2881355.932</v>
      </c>
      <c r="K28" s="94">
        <f t="shared" si="46"/>
        <v>2500000</v>
      </c>
      <c r="L28" s="94" t="str">
        <f t="shared" si="46"/>
        <v/>
      </c>
      <c r="M28" s="94" t="str">
        <f t="shared" si="46"/>
        <v/>
      </c>
      <c r="N28" s="94">
        <f t="shared" si="46"/>
        <v>1142857.143</v>
      </c>
      <c r="O28" s="128">
        <f t="shared" si="5"/>
        <v>21994054.34</v>
      </c>
      <c r="P28" s="129">
        <f t="shared" si="6"/>
        <v>9198412.698</v>
      </c>
      <c r="Q28" s="129">
        <f t="shared" si="10"/>
        <v>503109254.8</v>
      </c>
      <c r="R28" s="130">
        <f t="shared" si="7"/>
        <v>0.5031092548</v>
      </c>
      <c r="S28" s="133">
        <f t="shared" si="11"/>
        <v>0.02199405434</v>
      </c>
      <c r="T28" s="133">
        <f t="shared" si="12"/>
        <v>0.04571473594</v>
      </c>
      <c r="U28" s="132">
        <f t="shared" ref="U28:AC28" si="47">$Q28*U$3</f>
        <v>16602605.41</v>
      </c>
      <c r="V28" s="132">
        <f t="shared" si="47"/>
        <v>25155462.74</v>
      </c>
      <c r="W28" s="132">
        <f t="shared" si="47"/>
        <v>75466388.22</v>
      </c>
      <c r="X28" s="132">
        <f t="shared" si="47"/>
        <v>125777313.7</v>
      </c>
      <c r="Y28" s="132">
        <f t="shared" si="47"/>
        <v>251554627.4</v>
      </c>
      <c r="Z28" s="132">
        <f t="shared" si="47"/>
        <v>503109254.8</v>
      </c>
      <c r="AA28" s="132">
        <f t="shared" si="47"/>
        <v>830130270.4</v>
      </c>
      <c r="AB28" s="132">
        <f t="shared" si="47"/>
        <v>1257773137</v>
      </c>
      <c r="AC28" s="132">
        <f t="shared" si="47"/>
        <v>2515546274</v>
      </c>
      <c r="AD28" s="101"/>
      <c r="AE28" s="101"/>
    </row>
    <row r="29">
      <c r="A29" s="98"/>
      <c r="B29" s="127">
        <v>21.0</v>
      </c>
      <c r="C29" s="94">
        <f t="shared" ref="C29:N29" si="48">if(C$7=0, if($B29=1, C$6, IF(and($B29&gt;C$7,$B29&lt;=sum(C$8,C$7)),(C$5-C$6)/(C$8-1),"")),IF($B29=1,C$6,IF(and($B29&gt;C$7,$B29&lt;=sum(C$8,C$7)),(C$5-C$6)/C$8,"")))</f>
        <v>4500000</v>
      </c>
      <c r="D29" s="94" t="str">
        <f t="shared" si="48"/>
        <v/>
      </c>
      <c r="E29" s="94" t="str">
        <f t="shared" si="48"/>
        <v/>
      </c>
      <c r="F29" s="94">
        <f t="shared" si="48"/>
        <v>4722222.222</v>
      </c>
      <c r="G29" s="94">
        <f t="shared" si="48"/>
        <v>1111111.111</v>
      </c>
      <c r="H29" s="94">
        <f t="shared" si="48"/>
        <v>2222222.222</v>
      </c>
      <c r="I29" s="94">
        <f t="shared" si="48"/>
        <v>2914285.714</v>
      </c>
      <c r="J29" s="94">
        <f t="shared" si="48"/>
        <v>2881355.932</v>
      </c>
      <c r="K29" s="94">
        <f t="shared" si="48"/>
        <v>2500000</v>
      </c>
      <c r="L29" s="94" t="str">
        <f t="shared" si="48"/>
        <v/>
      </c>
      <c r="M29" s="94" t="str">
        <f t="shared" si="48"/>
        <v/>
      </c>
      <c r="N29" s="94">
        <f t="shared" si="48"/>
        <v>1142857.143</v>
      </c>
      <c r="O29" s="128">
        <f t="shared" si="5"/>
        <v>21994054.34</v>
      </c>
      <c r="P29" s="129">
        <f t="shared" si="6"/>
        <v>9198412.698</v>
      </c>
      <c r="Q29" s="129">
        <f t="shared" si="10"/>
        <v>525103309.1</v>
      </c>
      <c r="R29" s="130">
        <f t="shared" si="7"/>
        <v>0.5251033091</v>
      </c>
      <c r="S29" s="133">
        <f t="shared" si="11"/>
        <v>0.02199405434</v>
      </c>
      <c r="T29" s="133">
        <f t="shared" si="12"/>
        <v>0.04371625872</v>
      </c>
      <c r="U29" s="132">
        <f t="shared" ref="U29:AC29" si="49">$Q29*U$3</f>
        <v>17328409.2</v>
      </c>
      <c r="V29" s="132">
        <f t="shared" si="49"/>
        <v>26255165.46</v>
      </c>
      <c r="W29" s="132">
        <f t="shared" si="49"/>
        <v>78765496.37</v>
      </c>
      <c r="X29" s="132">
        <f t="shared" si="49"/>
        <v>131275827.3</v>
      </c>
      <c r="Y29" s="132">
        <f t="shared" si="49"/>
        <v>262551654.6</v>
      </c>
      <c r="Z29" s="132">
        <f t="shared" si="49"/>
        <v>525103309.1</v>
      </c>
      <c r="AA29" s="132">
        <f t="shared" si="49"/>
        <v>866420460</v>
      </c>
      <c r="AB29" s="132">
        <f t="shared" si="49"/>
        <v>1312758273</v>
      </c>
      <c r="AC29" s="132">
        <f t="shared" si="49"/>
        <v>2625516546</v>
      </c>
      <c r="AD29" s="101"/>
      <c r="AE29" s="101"/>
    </row>
    <row r="30">
      <c r="A30" s="98"/>
      <c r="B30" s="127">
        <v>22.0</v>
      </c>
      <c r="C30" s="94" t="str">
        <f t="shared" ref="C30:N30" si="50">if(C$7=0, if($B30=1, C$6, IF(and($B30&gt;C$7,$B30&lt;=sum(C$8,C$7)),(C$5-C$6)/(C$8-1),"")),IF($B30=1,C$6,IF(and($B30&gt;C$7,$B30&lt;=sum(C$8,C$7)),(C$5-C$6)/C$8,"")))</f>
        <v/>
      </c>
      <c r="D30" s="94" t="str">
        <f t="shared" si="50"/>
        <v/>
      </c>
      <c r="E30" s="94" t="str">
        <f t="shared" si="50"/>
        <v/>
      </c>
      <c r="F30" s="94">
        <f t="shared" si="50"/>
        <v>4722222.222</v>
      </c>
      <c r="G30" s="94">
        <f t="shared" si="50"/>
        <v>1111111.111</v>
      </c>
      <c r="H30" s="94">
        <f t="shared" si="50"/>
        <v>2222222.222</v>
      </c>
      <c r="I30" s="94">
        <f t="shared" si="50"/>
        <v>2914285.714</v>
      </c>
      <c r="J30" s="94">
        <f t="shared" si="50"/>
        <v>2881355.932</v>
      </c>
      <c r="K30" s="94">
        <f t="shared" si="50"/>
        <v>2500000</v>
      </c>
      <c r="L30" s="94" t="str">
        <f t="shared" si="50"/>
        <v/>
      </c>
      <c r="M30" s="94" t="str">
        <f t="shared" si="50"/>
        <v/>
      </c>
      <c r="N30" s="94">
        <f t="shared" si="50"/>
        <v>1142857.143</v>
      </c>
      <c r="O30" s="128">
        <f t="shared" si="5"/>
        <v>17494054.34</v>
      </c>
      <c r="P30" s="129">
        <f t="shared" si="6"/>
        <v>9198412.698</v>
      </c>
      <c r="Q30" s="129">
        <f t="shared" si="10"/>
        <v>542597363.5</v>
      </c>
      <c r="R30" s="130">
        <f t="shared" si="7"/>
        <v>0.5425973635</v>
      </c>
      <c r="S30" s="133">
        <f t="shared" si="11"/>
        <v>0.01749405434</v>
      </c>
      <c r="T30" s="133">
        <f t="shared" si="12"/>
        <v>0.03331545249</v>
      </c>
      <c r="U30" s="132">
        <f t="shared" ref="U30:AC30" si="51">$Q30*U$3</f>
        <v>17905712.99</v>
      </c>
      <c r="V30" s="132">
        <f t="shared" si="51"/>
        <v>27129868.17</v>
      </c>
      <c r="W30" s="132">
        <f t="shared" si="51"/>
        <v>81389604.52</v>
      </c>
      <c r="X30" s="132">
        <f t="shared" si="51"/>
        <v>135649340.9</v>
      </c>
      <c r="Y30" s="132">
        <f t="shared" si="51"/>
        <v>271298681.7</v>
      </c>
      <c r="Z30" s="132">
        <f t="shared" si="51"/>
        <v>542597363.5</v>
      </c>
      <c r="AA30" s="132">
        <f t="shared" si="51"/>
        <v>895285649.7</v>
      </c>
      <c r="AB30" s="132">
        <f t="shared" si="51"/>
        <v>1356493409</v>
      </c>
      <c r="AC30" s="132">
        <f t="shared" si="51"/>
        <v>2712986817</v>
      </c>
      <c r="AD30" s="101"/>
      <c r="AE30" s="101"/>
    </row>
    <row r="31">
      <c r="A31" s="98"/>
      <c r="B31" s="127">
        <v>23.0</v>
      </c>
      <c r="C31" s="94" t="str">
        <f t="shared" ref="C31:N31" si="52">if(C$7=0, if($B31=1, C$6, IF(and($B31&gt;C$7,$B31&lt;=sum(C$8,C$7)),(C$5-C$6)/(C$8-1),"")),IF($B31=1,C$6,IF(and($B31&gt;C$7,$B31&lt;=sum(C$8,C$7)),(C$5-C$6)/C$8,"")))</f>
        <v/>
      </c>
      <c r="D31" s="94" t="str">
        <f t="shared" si="52"/>
        <v/>
      </c>
      <c r="E31" s="94" t="str">
        <f t="shared" si="52"/>
        <v/>
      </c>
      <c r="F31" s="94">
        <f t="shared" si="52"/>
        <v>4722222.222</v>
      </c>
      <c r="G31" s="94">
        <f t="shared" si="52"/>
        <v>1111111.111</v>
      </c>
      <c r="H31" s="94">
        <f t="shared" si="52"/>
        <v>2222222.222</v>
      </c>
      <c r="I31" s="94">
        <f t="shared" si="52"/>
        <v>2914285.714</v>
      </c>
      <c r="J31" s="94">
        <f t="shared" si="52"/>
        <v>2881355.932</v>
      </c>
      <c r="K31" s="94">
        <f t="shared" si="52"/>
        <v>2500000</v>
      </c>
      <c r="L31" s="94" t="str">
        <f t="shared" si="52"/>
        <v/>
      </c>
      <c r="M31" s="94" t="str">
        <f t="shared" si="52"/>
        <v/>
      </c>
      <c r="N31" s="94">
        <f t="shared" si="52"/>
        <v>1142857.143</v>
      </c>
      <c r="O31" s="128">
        <f t="shared" si="5"/>
        <v>17494054.34</v>
      </c>
      <c r="P31" s="129">
        <f t="shared" si="6"/>
        <v>9198412.698</v>
      </c>
      <c r="Q31" s="129">
        <f t="shared" si="10"/>
        <v>560091417.8</v>
      </c>
      <c r="R31" s="130">
        <f t="shared" si="7"/>
        <v>0.5600914178</v>
      </c>
      <c r="S31" s="133">
        <f t="shared" si="11"/>
        <v>0.01749405434</v>
      </c>
      <c r="T31" s="133">
        <f t="shared" si="12"/>
        <v>0.03224131837</v>
      </c>
      <c r="U31" s="132">
        <f t="shared" ref="U31:AC31" si="53">$Q31*U$3</f>
        <v>18483016.79</v>
      </c>
      <c r="V31" s="132">
        <f t="shared" si="53"/>
        <v>28004570.89</v>
      </c>
      <c r="W31" s="132">
        <f t="shared" si="53"/>
        <v>84013712.67</v>
      </c>
      <c r="X31" s="132">
        <f t="shared" si="53"/>
        <v>140022854.5</v>
      </c>
      <c r="Y31" s="132">
        <f t="shared" si="53"/>
        <v>280045708.9</v>
      </c>
      <c r="Z31" s="132">
        <f t="shared" si="53"/>
        <v>560091417.8</v>
      </c>
      <c r="AA31" s="132">
        <f t="shared" si="53"/>
        <v>924150839.4</v>
      </c>
      <c r="AB31" s="132">
        <f t="shared" si="53"/>
        <v>1400228545</v>
      </c>
      <c r="AC31" s="132">
        <f t="shared" si="53"/>
        <v>2800457089</v>
      </c>
      <c r="AD31" s="101"/>
      <c r="AE31" s="101"/>
    </row>
    <row r="32">
      <c r="A32" s="98"/>
      <c r="B32" s="127">
        <v>24.0</v>
      </c>
      <c r="C32" s="94" t="str">
        <f t="shared" ref="C32:N32" si="54">if(C$7=0, if($B32=1, C$6, IF(and($B32&gt;C$7,$B32&lt;=sum(C$8,C$7)),(C$5-C$6)/(C$8-1),"")),IF($B32=1,C$6,IF(and($B32&gt;C$7,$B32&lt;=sum(C$8,C$7)),(C$5-C$6)/C$8,"")))</f>
        <v/>
      </c>
      <c r="D32" s="94" t="str">
        <f t="shared" si="54"/>
        <v/>
      </c>
      <c r="E32" s="94" t="str">
        <f t="shared" si="54"/>
        <v/>
      </c>
      <c r="F32" s="94">
        <f t="shared" si="54"/>
        <v>4722222.222</v>
      </c>
      <c r="G32" s="94">
        <f t="shared" si="54"/>
        <v>1111111.111</v>
      </c>
      <c r="H32" s="94">
        <f t="shared" si="54"/>
        <v>2222222.222</v>
      </c>
      <c r="I32" s="94">
        <f t="shared" si="54"/>
        <v>2914285.714</v>
      </c>
      <c r="J32" s="94">
        <f t="shared" si="54"/>
        <v>2881355.932</v>
      </c>
      <c r="K32" s="94">
        <f t="shared" si="54"/>
        <v>2500000</v>
      </c>
      <c r="L32" s="94" t="str">
        <f t="shared" si="54"/>
        <v/>
      </c>
      <c r="M32" s="94" t="str">
        <f t="shared" si="54"/>
        <v/>
      </c>
      <c r="N32" s="94">
        <f t="shared" si="54"/>
        <v>1142857.143</v>
      </c>
      <c r="O32" s="128">
        <f t="shared" si="5"/>
        <v>17494054.34</v>
      </c>
      <c r="P32" s="129">
        <f t="shared" si="6"/>
        <v>9198412.698</v>
      </c>
      <c r="Q32" s="129">
        <f t="shared" si="10"/>
        <v>577585472.2</v>
      </c>
      <c r="R32" s="130">
        <f t="shared" si="7"/>
        <v>0.5775854722</v>
      </c>
      <c r="S32" s="133">
        <f t="shared" si="11"/>
        <v>0.01749405434</v>
      </c>
      <c r="T32" s="133">
        <f t="shared" si="12"/>
        <v>0.03123428388</v>
      </c>
      <c r="U32" s="132">
        <f t="shared" ref="U32:AC32" si="55">$Q32*U$3</f>
        <v>19060320.58</v>
      </c>
      <c r="V32" s="132">
        <f t="shared" si="55"/>
        <v>28879273.61</v>
      </c>
      <c r="W32" s="132">
        <f t="shared" si="55"/>
        <v>86637820.82</v>
      </c>
      <c r="X32" s="132">
        <f t="shared" si="55"/>
        <v>144396368</v>
      </c>
      <c r="Y32" s="132">
        <f t="shared" si="55"/>
        <v>288792736.1</v>
      </c>
      <c r="Z32" s="132">
        <f t="shared" si="55"/>
        <v>577585472.2</v>
      </c>
      <c r="AA32" s="132">
        <f t="shared" si="55"/>
        <v>953016029.1</v>
      </c>
      <c r="AB32" s="132">
        <f t="shared" si="55"/>
        <v>1443963680</v>
      </c>
      <c r="AC32" s="132">
        <f t="shared" si="55"/>
        <v>2887927361</v>
      </c>
      <c r="AD32" s="101"/>
      <c r="AE32" s="101"/>
    </row>
    <row r="33">
      <c r="A33" s="98"/>
      <c r="B33" s="127">
        <v>25.0</v>
      </c>
      <c r="C33" s="94" t="str">
        <f t="shared" ref="C33:N33" si="56">if(C$7=0, if($B33=1, C$6, IF(and($B33&gt;C$7,$B33&lt;=sum(C$8,C$7)),(C$5-C$6)/(C$8-1),"")),IF($B33=1,C$6,IF(and($B33&gt;C$7,$B33&lt;=sum(C$8,C$7)),(C$5-C$6)/C$8,"")))</f>
        <v/>
      </c>
      <c r="D33" s="94" t="str">
        <f t="shared" si="56"/>
        <v/>
      </c>
      <c r="E33" s="94" t="str">
        <f t="shared" si="56"/>
        <v/>
      </c>
      <c r="F33" s="94">
        <f t="shared" si="56"/>
        <v>4722222.222</v>
      </c>
      <c r="G33" s="94">
        <f t="shared" si="56"/>
        <v>1111111.111</v>
      </c>
      <c r="H33" s="94">
        <f t="shared" si="56"/>
        <v>2222222.222</v>
      </c>
      <c r="I33" s="94">
        <f t="shared" si="56"/>
        <v>2914285.714</v>
      </c>
      <c r="J33" s="94">
        <f t="shared" si="56"/>
        <v>2881355.932</v>
      </c>
      <c r="K33" s="94">
        <f t="shared" si="56"/>
        <v>2500000</v>
      </c>
      <c r="L33" s="94" t="str">
        <f t="shared" si="56"/>
        <v/>
      </c>
      <c r="M33" s="94" t="str">
        <f t="shared" si="56"/>
        <v/>
      </c>
      <c r="N33" s="94">
        <f t="shared" si="56"/>
        <v>1142857.143</v>
      </c>
      <c r="O33" s="128">
        <f t="shared" si="5"/>
        <v>17494054.34</v>
      </c>
      <c r="P33" s="129">
        <f t="shared" si="6"/>
        <v>9198412.698</v>
      </c>
      <c r="Q33" s="129">
        <f t="shared" si="10"/>
        <v>595079526.5</v>
      </c>
      <c r="R33" s="130">
        <f t="shared" si="7"/>
        <v>0.5950795265</v>
      </c>
      <c r="S33" s="133">
        <f t="shared" si="11"/>
        <v>0.01749405434</v>
      </c>
      <c r="T33" s="133">
        <f t="shared" si="12"/>
        <v>0.03028825202</v>
      </c>
      <c r="U33" s="132">
        <f t="shared" ref="U33:AC33" si="57">$Q33*U$3</f>
        <v>19637624.37</v>
      </c>
      <c r="V33" s="132">
        <f t="shared" si="57"/>
        <v>29753976.32</v>
      </c>
      <c r="W33" s="132">
        <f t="shared" si="57"/>
        <v>89261928.97</v>
      </c>
      <c r="X33" s="132">
        <f t="shared" si="57"/>
        <v>148769881.6</v>
      </c>
      <c r="Y33" s="132">
        <f t="shared" si="57"/>
        <v>297539763.2</v>
      </c>
      <c r="Z33" s="132">
        <f t="shared" si="57"/>
        <v>595079526.5</v>
      </c>
      <c r="AA33" s="132">
        <f t="shared" si="57"/>
        <v>981881218.7</v>
      </c>
      <c r="AB33" s="132">
        <f t="shared" si="57"/>
        <v>1487698816</v>
      </c>
      <c r="AC33" s="132">
        <f t="shared" si="57"/>
        <v>2975397632</v>
      </c>
      <c r="AD33" s="101"/>
      <c r="AE33" s="101"/>
    </row>
    <row r="34">
      <c r="A34" s="98"/>
      <c r="B34" s="127">
        <v>26.0</v>
      </c>
      <c r="C34" s="94" t="str">
        <f t="shared" ref="C34:N34" si="58">if(C$7=0, if($B34=1, C$6, IF(and($B34&gt;C$7,$B34&lt;=sum(C$8,C$7)),(C$5-C$6)/(C$8-1),"")),IF($B34=1,C$6,IF(and($B34&gt;C$7,$B34&lt;=sum(C$8,C$7)),(C$5-C$6)/C$8,"")))</f>
        <v/>
      </c>
      <c r="D34" s="94" t="str">
        <f t="shared" si="58"/>
        <v/>
      </c>
      <c r="E34" s="94" t="str">
        <f t="shared" si="58"/>
        <v/>
      </c>
      <c r="F34" s="94">
        <f t="shared" si="58"/>
        <v>4722222.222</v>
      </c>
      <c r="G34" s="94">
        <f t="shared" si="58"/>
        <v>1111111.111</v>
      </c>
      <c r="H34" s="94">
        <f t="shared" si="58"/>
        <v>2222222.222</v>
      </c>
      <c r="I34" s="94">
        <f t="shared" si="58"/>
        <v>2914285.714</v>
      </c>
      <c r="J34" s="94">
        <f t="shared" si="58"/>
        <v>2881355.932</v>
      </c>
      <c r="K34" s="94">
        <f t="shared" si="58"/>
        <v>2500000</v>
      </c>
      <c r="L34" s="94" t="str">
        <f t="shared" si="58"/>
        <v/>
      </c>
      <c r="M34" s="94" t="str">
        <f t="shared" si="58"/>
        <v/>
      </c>
      <c r="N34" s="94">
        <f t="shared" si="58"/>
        <v>1142857.143</v>
      </c>
      <c r="O34" s="128">
        <f t="shared" si="5"/>
        <v>17494054.34</v>
      </c>
      <c r="P34" s="129">
        <f t="shared" si="6"/>
        <v>9198412.698</v>
      </c>
      <c r="Q34" s="129">
        <f t="shared" si="10"/>
        <v>612573580.8</v>
      </c>
      <c r="R34" s="130">
        <f t="shared" si="7"/>
        <v>0.6125735808</v>
      </c>
      <c r="S34" s="133">
        <f t="shared" si="11"/>
        <v>0.01749405434</v>
      </c>
      <c r="T34" s="133">
        <f t="shared" si="12"/>
        <v>0.02939784275</v>
      </c>
      <c r="U34" s="132">
        <f t="shared" ref="U34:AC34" si="59">$Q34*U$3</f>
        <v>20214928.17</v>
      </c>
      <c r="V34" s="132">
        <f t="shared" si="59"/>
        <v>30628679.04</v>
      </c>
      <c r="W34" s="132">
        <f t="shared" si="59"/>
        <v>91886037.13</v>
      </c>
      <c r="X34" s="132">
        <f t="shared" si="59"/>
        <v>153143395.2</v>
      </c>
      <c r="Y34" s="132">
        <f t="shared" si="59"/>
        <v>306286790.4</v>
      </c>
      <c r="Z34" s="132">
        <f t="shared" si="59"/>
        <v>612573580.8</v>
      </c>
      <c r="AA34" s="132">
        <f t="shared" si="59"/>
        <v>1010746408</v>
      </c>
      <c r="AB34" s="132">
        <f t="shared" si="59"/>
        <v>1531433952</v>
      </c>
      <c r="AC34" s="132">
        <f t="shared" si="59"/>
        <v>3062867904</v>
      </c>
      <c r="AD34" s="101"/>
      <c r="AE34" s="101"/>
    </row>
    <row r="35">
      <c r="A35" s="98"/>
      <c r="B35" s="127">
        <v>27.0</v>
      </c>
      <c r="C35" s="94" t="str">
        <f t="shared" ref="C35:N35" si="60">if(C$7=0, if($B35=1, C$6, IF(and($B35&gt;C$7,$B35&lt;=sum(C$8,C$7)),(C$5-C$6)/(C$8-1),"")),IF($B35=1,C$6,IF(and($B35&gt;C$7,$B35&lt;=sum(C$8,C$7)),(C$5-C$6)/C$8,"")))</f>
        <v/>
      </c>
      <c r="D35" s="94" t="str">
        <f t="shared" si="60"/>
        <v/>
      </c>
      <c r="E35" s="94" t="str">
        <f t="shared" si="60"/>
        <v/>
      </c>
      <c r="F35" s="94">
        <f t="shared" si="60"/>
        <v>4722222.222</v>
      </c>
      <c r="G35" s="94">
        <f t="shared" si="60"/>
        <v>1111111.111</v>
      </c>
      <c r="H35" s="94">
        <f t="shared" si="60"/>
        <v>2222222.222</v>
      </c>
      <c r="I35" s="94">
        <f t="shared" si="60"/>
        <v>2914285.714</v>
      </c>
      <c r="J35" s="94">
        <f t="shared" si="60"/>
        <v>2881355.932</v>
      </c>
      <c r="K35" s="94">
        <f t="shared" si="60"/>
        <v>2500000</v>
      </c>
      <c r="L35" s="94" t="str">
        <f t="shared" si="60"/>
        <v/>
      </c>
      <c r="M35" s="94" t="str">
        <f t="shared" si="60"/>
        <v/>
      </c>
      <c r="N35" s="94">
        <f t="shared" si="60"/>
        <v>1142857.143</v>
      </c>
      <c r="O35" s="128">
        <f t="shared" si="5"/>
        <v>17494054.34</v>
      </c>
      <c r="P35" s="129">
        <f t="shared" si="6"/>
        <v>9198412.698</v>
      </c>
      <c r="Q35" s="129">
        <f t="shared" si="10"/>
        <v>630067635.2</v>
      </c>
      <c r="R35" s="130">
        <f t="shared" si="7"/>
        <v>0.6300676352</v>
      </c>
      <c r="S35" s="133">
        <f t="shared" si="11"/>
        <v>0.01749405434</v>
      </c>
      <c r="T35" s="133">
        <f t="shared" si="12"/>
        <v>0.02855829062</v>
      </c>
      <c r="U35" s="132">
        <f t="shared" ref="U35:AC35" si="61">$Q35*U$3</f>
        <v>20792231.96</v>
      </c>
      <c r="V35" s="132">
        <f t="shared" si="61"/>
        <v>31503381.76</v>
      </c>
      <c r="W35" s="132">
        <f t="shared" si="61"/>
        <v>94510145.28</v>
      </c>
      <c r="X35" s="132">
        <f t="shared" si="61"/>
        <v>157516908.8</v>
      </c>
      <c r="Y35" s="132">
        <f t="shared" si="61"/>
        <v>315033817.6</v>
      </c>
      <c r="Z35" s="132">
        <f t="shared" si="61"/>
        <v>630067635.2</v>
      </c>
      <c r="AA35" s="132">
        <f t="shared" si="61"/>
        <v>1039611598</v>
      </c>
      <c r="AB35" s="132">
        <f t="shared" si="61"/>
        <v>1575169088</v>
      </c>
      <c r="AC35" s="132">
        <f t="shared" si="61"/>
        <v>3150338176</v>
      </c>
      <c r="AD35" s="101"/>
      <c r="AE35" s="101"/>
    </row>
    <row r="36">
      <c r="A36" s="98"/>
      <c r="B36" s="127">
        <v>28.0</v>
      </c>
      <c r="C36" s="94" t="str">
        <f t="shared" ref="C36:N36" si="62">if(C$7=0, if($B36=1, C$6, IF(and($B36&gt;C$7,$B36&lt;=sum(C$8,C$7)),(C$5-C$6)/(C$8-1),"")),IF($B36=1,C$6,IF(and($B36&gt;C$7,$B36&lt;=sum(C$8,C$7)),(C$5-C$6)/C$8,"")))</f>
        <v/>
      </c>
      <c r="D36" s="94" t="str">
        <f t="shared" si="62"/>
        <v/>
      </c>
      <c r="E36" s="94" t="str">
        <f t="shared" si="62"/>
        <v/>
      </c>
      <c r="F36" s="94">
        <f t="shared" si="62"/>
        <v>4722222.222</v>
      </c>
      <c r="G36" s="94">
        <f t="shared" si="62"/>
        <v>1111111.111</v>
      </c>
      <c r="H36" s="94">
        <f t="shared" si="62"/>
        <v>2222222.222</v>
      </c>
      <c r="I36" s="94">
        <f t="shared" si="62"/>
        <v>2914285.714</v>
      </c>
      <c r="J36" s="94">
        <f t="shared" si="62"/>
        <v>2881355.932</v>
      </c>
      <c r="K36" s="94">
        <f t="shared" si="62"/>
        <v>2500000</v>
      </c>
      <c r="L36" s="94" t="str">
        <f t="shared" si="62"/>
        <v/>
      </c>
      <c r="M36" s="94" t="str">
        <f t="shared" si="62"/>
        <v/>
      </c>
      <c r="N36" s="94">
        <f t="shared" si="62"/>
        <v>1142857.143</v>
      </c>
      <c r="O36" s="128">
        <f t="shared" si="5"/>
        <v>17494054.34</v>
      </c>
      <c r="P36" s="129">
        <f t="shared" si="6"/>
        <v>9198412.698</v>
      </c>
      <c r="Q36" s="129">
        <f t="shared" si="10"/>
        <v>647561689.5</v>
      </c>
      <c r="R36" s="130">
        <f t="shared" si="7"/>
        <v>0.6475616895</v>
      </c>
      <c r="S36" s="133">
        <f t="shared" si="11"/>
        <v>0.01749405434</v>
      </c>
      <c r="T36" s="133">
        <f t="shared" si="12"/>
        <v>0.02776535941</v>
      </c>
      <c r="U36" s="132">
        <f t="shared" ref="U36:AC36" si="63">$Q36*U$3</f>
        <v>21369535.75</v>
      </c>
      <c r="V36" s="132">
        <f t="shared" si="63"/>
        <v>32378084.48</v>
      </c>
      <c r="W36" s="132">
        <f t="shared" si="63"/>
        <v>97134253.43</v>
      </c>
      <c r="X36" s="132">
        <f t="shared" si="63"/>
        <v>161890422.4</v>
      </c>
      <c r="Y36" s="132">
        <f t="shared" si="63"/>
        <v>323780844.8</v>
      </c>
      <c r="Z36" s="132">
        <f t="shared" si="63"/>
        <v>647561689.5</v>
      </c>
      <c r="AA36" s="132">
        <f t="shared" si="63"/>
        <v>1068476788</v>
      </c>
      <c r="AB36" s="132">
        <f t="shared" si="63"/>
        <v>1618904224</v>
      </c>
      <c r="AC36" s="132">
        <f t="shared" si="63"/>
        <v>3237808448</v>
      </c>
      <c r="AD36" s="101"/>
      <c r="AE36" s="101"/>
    </row>
    <row r="37">
      <c r="A37" s="98"/>
      <c r="B37" s="127">
        <v>29.0</v>
      </c>
      <c r="C37" s="94" t="str">
        <f t="shared" ref="C37:N37" si="64">if(C$7=0, if($B37=1, C$6, IF(and($B37&gt;C$7,$B37&lt;=sum(C$8,C$7)),(C$5-C$6)/(C$8-1),"")),IF($B37=1,C$6,IF(and($B37&gt;C$7,$B37&lt;=sum(C$8,C$7)),(C$5-C$6)/C$8,"")))</f>
        <v/>
      </c>
      <c r="D37" s="94" t="str">
        <f t="shared" si="64"/>
        <v/>
      </c>
      <c r="E37" s="94" t="str">
        <f t="shared" si="64"/>
        <v/>
      </c>
      <c r="F37" s="94">
        <f t="shared" si="64"/>
        <v>4722222.222</v>
      </c>
      <c r="G37" s="94">
        <f t="shared" si="64"/>
        <v>1111111.111</v>
      </c>
      <c r="H37" s="94">
        <f t="shared" si="64"/>
        <v>2222222.222</v>
      </c>
      <c r="I37" s="94">
        <f t="shared" si="64"/>
        <v>2914285.714</v>
      </c>
      <c r="J37" s="94">
        <f t="shared" si="64"/>
        <v>2881355.932</v>
      </c>
      <c r="K37" s="94">
        <f t="shared" si="64"/>
        <v>2500000</v>
      </c>
      <c r="L37" s="94" t="str">
        <f t="shared" si="64"/>
        <v/>
      </c>
      <c r="M37" s="94" t="str">
        <f t="shared" si="64"/>
        <v/>
      </c>
      <c r="N37" s="94">
        <f t="shared" si="64"/>
        <v>1142857.143</v>
      </c>
      <c r="O37" s="128">
        <f t="shared" si="5"/>
        <v>17494054.34</v>
      </c>
      <c r="P37" s="129">
        <f t="shared" si="6"/>
        <v>9198412.698</v>
      </c>
      <c r="Q37" s="129">
        <f t="shared" si="10"/>
        <v>665055743.9</v>
      </c>
      <c r="R37" s="130">
        <f t="shared" si="7"/>
        <v>0.6650557439</v>
      </c>
      <c r="S37" s="133">
        <f t="shared" si="11"/>
        <v>0.01749405434</v>
      </c>
      <c r="T37" s="133">
        <f t="shared" si="12"/>
        <v>0.02701527071</v>
      </c>
      <c r="U37" s="132">
        <f t="shared" ref="U37:AC37" si="65">$Q37*U$3</f>
        <v>21946839.55</v>
      </c>
      <c r="V37" s="132">
        <f t="shared" si="65"/>
        <v>33252787.19</v>
      </c>
      <c r="W37" s="132">
        <f t="shared" si="65"/>
        <v>99758361.58</v>
      </c>
      <c r="X37" s="132">
        <f t="shared" si="65"/>
        <v>166263936</v>
      </c>
      <c r="Y37" s="132">
        <f t="shared" si="65"/>
        <v>332527871.9</v>
      </c>
      <c r="Z37" s="132">
        <f t="shared" si="65"/>
        <v>665055743.9</v>
      </c>
      <c r="AA37" s="132">
        <f t="shared" si="65"/>
        <v>1097341977</v>
      </c>
      <c r="AB37" s="132">
        <f t="shared" si="65"/>
        <v>1662639360</v>
      </c>
      <c r="AC37" s="132">
        <f t="shared" si="65"/>
        <v>3325278719</v>
      </c>
      <c r="AD37" s="101"/>
      <c r="AE37" s="101"/>
    </row>
    <row r="38">
      <c r="A38" s="98"/>
      <c r="B38" s="127">
        <v>30.0</v>
      </c>
      <c r="C38" s="94" t="str">
        <f t="shared" ref="C38:N38" si="66">if(C$7=0, if($B38=1, C$6, IF(and($B38&gt;C$7,$B38&lt;=sum(C$8,C$7)),(C$5-C$6)/(C$8-1),"")),IF($B38=1,C$6,IF(and($B38&gt;C$7,$B38&lt;=sum(C$8,C$7)),(C$5-C$6)/C$8,"")))</f>
        <v/>
      </c>
      <c r="D38" s="94" t="str">
        <f t="shared" si="66"/>
        <v/>
      </c>
      <c r="E38" s="94" t="str">
        <f t="shared" si="66"/>
        <v/>
      </c>
      <c r="F38" s="94">
        <f t="shared" si="66"/>
        <v>4722222.222</v>
      </c>
      <c r="G38" s="94">
        <f t="shared" si="66"/>
        <v>1111111.111</v>
      </c>
      <c r="H38" s="94">
        <f t="shared" si="66"/>
        <v>2222222.222</v>
      </c>
      <c r="I38" s="94">
        <f t="shared" si="66"/>
        <v>2914285.714</v>
      </c>
      <c r="J38" s="94">
        <f t="shared" si="66"/>
        <v>2881355.932</v>
      </c>
      <c r="K38" s="94">
        <f t="shared" si="66"/>
        <v>2500000</v>
      </c>
      <c r="L38" s="94" t="str">
        <f t="shared" si="66"/>
        <v/>
      </c>
      <c r="M38" s="94" t="str">
        <f t="shared" si="66"/>
        <v/>
      </c>
      <c r="N38" s="94">
        <f t="shared" si="66"/>
        <v>1142857.143</v>
      </c>
      <c r="O38" s="128">
        <f t="shared" si="5"/>
        <v>17494054.34</v>
      </c>
      <c r="P38" s="129">
        <f t="shared" si="6"/>
        <v>9198412.698</v>
      </c>
      <c r="Q38" s="129">
        <f t="shared" si="10"/>
        <v>682549798.2</v>
      </c>
      <c r="R38" s="130">
        <f t="shared" si="7"/>
        <v>0.6825497982</v>
      </c>
      <c r="S38" s="133">
        <f t="shared" si="11"/>
        <v>0.01749405434</v>
      </c>
      <c r="T38" s="133">
        <f t="shared" si="12"/>
        <v>0.02630464364</v>
      </c>
      <c r="U38" s="132">
        <f t="shared" ref="U38:AC38" si="67">$Q38*U$3</f>
        <v>22524143.34</v>
      </c>
      <c r="V38" s="132">
        <f t="shared" si="67"/>
        <v>34127489.91</v>
      </c>
      <c r="W38" s="132">
        <f t="shared" si="67"/>
        <v>102382469.7</v>
      </c>
      <c r="X38" s="132">
        <f t="shared" si="67"/>
        <v>170637449.6</v>
      </c>
      <c r="Y38" s="132">
        <f t="shared" si="67"/>
        <v>341274899.1</v>
      </c>
      <c r="Z38" s="132">
        <f t="shared" si="67"/>
        <v>682549798.2</v>
      </c>
      <c r="AA38" s="132">
        <f t="shared" si="67"/>
        <v>1126207167</v>
      </c>
      <c r="AB38" s="132">
        <f t="shared" si="67"/>
        <v>1706374496</v>
      </c>
      <c r="AC38" s="132">
        <f t="shared" si="67"/>
        <v>3412748991</v>
      </c>
      <c r="AD38" s="101"/>
      <c r="AE38" s="101"/>
    </row>
    <row r="39">
      <c r="A39" s="98"/>
      <c r="B39" s="127">
        <v>31.0</v>
      </c>
      <c r="C39" s="94" t="str">
        <f t="shared" ref="C39:N39" si="68">if(C$7=0, if($B39=1, C$6, IF(and($B39&gt;C$7,$B39&lt;=sum(C$8,C$7)),(C$5-C$6)/(C$8-1),"")),IF($B39=1,C$6,IF(and($B39&gt;C$7,$B39&lt;=sum(C$8,C$7)),(C$5-C$6)/C$8,"")))</f>
        <v/>
      </c>
      <c r="D39" s="94" t="str">
        <f t="shared" si="68"/>
        <v/>
      </c>
      <c r="E39" s="94" t="str">
        <f t="shared" si="68"/>
        <v/>
      </c>
      <c r="F39" s="94">
        <f t="shared" si="68"/>
        <v>4722222.222</v>
      </c>
      <c r="G39" s="94">
        <f t="shared" si="68"/>
        <v>1111111.111</v>
      </c>
      <c r="H39" s="94">
        <f t="shared" si="68"/>
        <v>2222222.222</v>
      </c>
      <c r="I39" s="94">
        <f t="shared" si="68"/>
        <v>2914285.714</v>
      </c>
      <c r="J39" s="94">
        <f t="shared" si="68"/>
        <v>2881355.932</v>
      </c>
      <c r="K39" s="94">
        <f t="shared" si="68"/>
        <v>2500000</v>
      </c>
      <c r="L39" s="94" t="str">
        <f t="shared" si="68"/>
        <v/>
      </c>
      <c r="M39" s="94" t="str">
        <f t="shared" si="68"/>
        <v/>
      </c>
      <c r="N39" s="94">
        <f t="shared" si="68"/>
        <v>1142857.143</v>
      </c>
      <c r="O39" s="128">
        <f t="shared" si="5"/>
        <v>17494054.34</v>
      </c>
      <c r="P39" s="129">
        <f t="shared" si="6"/>
        <v>9198412.698</v>
      </c>
      <c r="Q39" s="129">
        <f t="shared" si="10"/>
        <v>700043852.6</v>
      </c>
      <c r="R39" s="130">
        <f t="shared" si="7"/>
        <v>0.7000438526</v>
      </c>
      <c r="S39" s="133">
        <f t="shared" si="11"/>
        <v>0.01749405434</v>
      </c>
      <c r="T39" s="133">
        <f t="shared" si="12"/>
        <v>0.02563044395</v>
      </c>
      <c r="U39" s="132">
        <f t="shared" ref="U39:AC39" si="69">$Q39*U$3</f>
        <v>23101447.13</v>
      </c>
      <c r="V39" s="132">
        <f t="shared" si="69"/>
        <v>35002192.63</v>
      </c>
      <c r="W39" s="132">
        <f t="shared" si="69"/>
        <v>105006577.9</v>
      </c>
      <c r="X39" s="132">
        <f t="shared" si="69"/>
        <v>175010963.1</v>
      </c>
      <c r="Y39" s="132">
        <f t="shared" si="69"/>
        <v>350021926.3</v>
      </c>
      <c r="Z39" s="132">
        <f t="shared" si="69"/>
        <v>700043852.6</v>
      </c>
      <c r="AA39" s="132">
        <f t="shared" si="69"/>
        <v>1155072357</v>
      </c>
      <c r="AB39" s="132">
        <f t="shared" si="69"/>
        <v>1750109631</v>
      </c>
      <c r="AC39" s="132">
        <f t="shared" si="69"/>
        <v>3500219263</v>
      </c>
      <c r="AD39" s="101"/>
      <c r="AE39" s="101"/>
    </row>
    <row r="40">
      <c r="A40" s="98"/>
      <c r="B40" s="127">
        <v>32.0</v>
      </c>
      <c r="C40" s="94" t="str">
        <f t="shared" ref="C40:N40" si="70">if(C$7=0, if($B40=1, C$6, IF(and($B40&gt;C$7,$B40&lt;=sum(C$8,C$7)),(C$5-C$6)/(C$8-1),"")),IF($B40=1,C$6,IF(and($B40&gt;C$7,$B40&lt;=sum(C$8,C$7)),(C$5-C$6)/C$8,"")))</f>
        <v/>
      </c>
      <c r="D40" s="94" t="str">
        <f t="shared" si="70"/>
        <v/>
      </c>
      <c r="E40" s="94" t="str">
        <f t="shared" si="70"/>
        <v/>
      </c>
      <c r="F40" s="94">
        <f t="shared" si="70"/>
        <v>4722222.222</v>
      </c>
      <c r="G40" s="94">
        <f t="shared" si="70"/>
        <v>1111111.111</v>
      </c>
      <c r="H40" s="94">
        <f t="shared" si="70"/>
        <v>2222222.222</v>
      </c>
      <c r="I40" s="94">
        <f t="shared" si="70"/>
        <v>2914285.714</v>
      </c>
      <c r="J40" s="94">
        <f t="shared" si="70"/>
        <v>2881355.932</v>
      </c>
      <c r="K40" s="94">
        <f t="shared" si="70"/>
        <v>2500000</v>
      </c>
      <c r="L40" s="94" t="str">
        <f t="shared" si="70"/>
        <v/>
      </c>
      <c r="M40" s="94" t="str">
        <f t="shared" si="70"/>
        <v/>
      </c>
      <c r="N40" s="94">
        <f t="shared" si="70"/>
        <v>1142857.143</v>
      </c>
      <c r="O40" s="128">
        <f t="shared" si="5"/>
        <v>17494054.34</v>
      </c>
      <c r="P40" s="129">
        <f t="shared" si="6"/>
        <v>9198412.698</v>
      </c>
      <c r="Q40" s="129">
        <f t="shared" si="10"/>
        <v>717537906.9</v>
      </c>
      <c r="R40" s="130">
        <f t="shared" si="7"/>
        <v>0.7175379069</v>
      </c>
      <c r="S40" s="133">
        <f t="shared" si="11"/>
        <v>0.01749405434</v>
      </c>
      <c r="T40" s="133">
        <f t="shared" si="12"/>
        <v>0.02498994067</v>
      </c>
      <c r="U40" s="132">
        <f t="shared" ref="U40:AC40" si="71">$Q40*U$3</f>
        <v>23678750.93</v>
      </c>
      <c r="V40" s="132">
        <f t="shared" si="71"/>
        <v>35876895.35</v>
      </c>
      <c r="W40" s="132">
        <f t="shared" si="71"/>
        <v>107630686</v>
      </c>
      <c r="X40" s="132">
        <f t="shared" si="71"/>
        <v>179384476.7</v>
      </c>
      <c r="Y40" s="132">
        <f t="shared" si="71"/>
        <v>358768953.5</v>
      </c>
      <c r="Z40" s="132">
        <f t="shared" si="71"/>
        <v>717537906.9</v>
      </c>
      <c r="AA40" s="132">
        <f t="shared" si="71"/>
        <v>1183937546</v>
      </c>
      <c r="AB40" s="132">
        <f t="shared" si="71"/>
        <v>1793844767</v>
      </c>
      <c r="AC40" s="132">
        <f t="shared" si="71"/>
        <v>3587689535</v>
      </c>
      <c r="AD40" s="101"/>
      <c r="AE40" s="101"/>
    </row>
    <row r="41">
      <c r="A41" s="98"/>
      <c r="B41" s="127">
        <v>33.0</v>
      </c>
      <c r="C41" s="94" t="str">
        <f t="shared" ref="C41:N41" si="72">if(C$7=0, if($B41=1, C$6, IF(and($B41&gt;C$7,$B41&lt;=sum(C$8,C$7)),(C$5-C$6)/(C$8-1),"")),IF($B41=1,C$6,IF(and($B41&gt;C$7,$B41&lt;=sum(C$8,C$7)),(C$5-C$6)/C$8,"")))</f>
        <v/>
      </c>
      <c r="D41" s="94" t="str">
        <f t="shared" si="72"/>
        <v/>
      </c>
      <c r="E41" s="94" t="str">
        <f t="shared" si="72"/>
        <v/>
      </c>
      <c r="F41" s="94">
        <f t="shared" si="72"/>
        <v>4722222.222</v>
      </c>
      <c r="G41" s="94">
        <f t="shared" si="72"/>
        <v>1111111.111</v>
      </c>
      <c r="H41" s="94">
        <f t="shared" si="72"/>
        <v>2222222.222</v>
      </c>
      <c r="I41" s="94">
        <f t="shared" si="72"/>
        <v>2914285.714</v>
      </c>
      <c r="J41" s="94">
        <f t="shared" si="72"/>
        <v>2881355.932</v>
      </c>
      <c r="K41" s="94">
        <f t="shared" si="72"/>
        <v>2500000</v>
      </c>
      <c r="L41" s="94" t="str">
        <f t="shared" si="72"/>
        <v/>
      </c>
      <c r="M41" s="94" t="str">
        <f t="shared" si="72"/>
        <v/>
      </c>
      <c r="N41" s="94">
        <f t="shared" si="72"/>
        <v>1142857.143</v>
      </c>
      <c r="O41" s="128">
        <f t="shared" si="5"/>
        <v>17494054.34</v>
      </c>
      <c r="P41" s="129">
        <f t="shared" si="6"/>
        <v>9198412.698</v>
      </c>
      <c r="Q41" s="129">
        <f t="shared" si="10"/>
        <v>735031961.3</v>
      </c>
      <c r="R41" s="130">
        <f t="shared" si="7"/>
        <v>0.7350319613</v>
      </c>
      <c r="S41" s="133">
        <f t="shared" si="11"/>
        <v>0.01749405434</v>
      </c>
      <c r="T41" s="133">
        <f t="shared" si="12"/>
        <v>0.0243806692</v>
      </c>
      <c r="U41" s="132">
        <f t="shared" ref="U41:AC41" si="73">$Q41*U$3</f>
        <v>24256054.72</v>
      </c>
      <c r="V41" s="132">
        <f t="shared" si="73"/>
        <v>36751598.06</v>
      </c>
      <c r="W41" s="132">
        <f t="shared" si="73"/>
        <v>110254794.2</v>
      </c>
      <c r="X41" s="132">
        <f t="shared" si="73"/>
        <v>183757990.3</v>
      </c>
      <c r="Y41" s="132">
        <f t="shared" si="73"/>
        <v>367515980.6</v>
      </c>
      <c r="Z41" s="132">
        <f t="shared" si="73"/>
        <v>735031961.3</v>
      </c>
      <c r="AA41" s="132">
        <f t="shared" si="73"/>
        <v>1212802736</v>
      </c>
      <c r="AB41" s="132">
        <f t="shared" si="73"/>
        <v>1837579903</v>
      </c>
      <c r="AC41" s="132">
        <f t="shared" si="73"/>
        <v>3675159806</v>
      </c>
      <c r="AD41" s="101"/>
      <c r="AE41" s="101"/>
    </row>
    <row r="42">
      <c r="A42" s="98"/>
      <c r="B42" s="127">
        <v>34.0</v>
      </c>
      <c r="C42" s="94" t="str">
        <f t="shared" ref="C42:N42" si="74">if(C$7=0, if($B42=1, C$6, IF(and($B42&gt;C$7,$B42&lt;=sum(C$8,C$7)),(C$5-C$6)/(C$8-1),"")),IF($B42=1,C$6,IF(and($B42&gt;C$7,$B42&lt;=sum(C$8,C$7)),(C$5-C$6)/C$8,"")))</f>
        <v/>
      </c>
      <c r="D42" s="94" t="str">
        <f t="shared" si="74"/>
        <v/>
      </c>
      <c r="E42" s="94" t="str">
        <f t="shared" si="74"/>
        <v/>
      </c>
      <c r="F42" s="94">
        <f t="shared" si="74"/>
        <v>4722222.222</v>
      </c>
      <c r="G42" s="94">
        <f t="shared" si="74"/>
        <v>1111111.111</v>
      </c>
      <c r="H42" s="94">
        <f t="shared" si="74"/>
        <v>2222222.222</v>
      </c>
      <c r="I42" s="94">
        <f t="shared" si="74"/>
        <v>2914285.714</v>
      </c>
      <c r="J42" s="94">
        <f t="shared" si="74"/>
        <v>2881355.932</v>
      </c>
      <c r="K42" s="94">
        <f t="shared" si="74"/>
        <v>2500000</v>
      </c>
      <c r="L42" s="94" t="str">
        <f t="shared" si="74"/>
        <v/>
      </c>
      <c r="M42" s="94" t="str">
        <f t="shared" si="74"/>
        <v/>
      </c>
      <c r="N42" s="94">
        <f t="shared" si="74"/>
        <v>1142857.143</v>
      </c>
      <c r="O42" s="128">
        <f t="shared" si="5"/>
        <v>17494054.34</v>
      </c>
      <c r="P42" s="129">
        <f t="shared" si="6"/>
        <v>9198412.698</v>
      </c>
      <c r="Q42" s="129">
        <f t="shared" si="10"/>
        <v>752526015.6</v>
      </c>
      <c r="R42" s="130">
        <f t="shared" si="7"/>
        <v>0.7525260156</v>
      </c>
      <c r="S42" s="133">
        <f t="shared" si="11"/>
        <v>0.01749405434</v>
      </c>
      <c r="T42" s="133">
        <f t="shared" si="12"/>
        <v>0.02380039953</v>
      </c>
      <c r="U42" s="132">
        <f t="shared" ref="U42:AC42" si="75">$Q42*U$3</f>
        <v>24833358.51</v>
      </c>
      <c r="V42" s="132">
        <f t="shared" si="75"/>
        <v>37626300.78</v>
      </c>
      <c r="W42" s="132">
        <f t="shared" si="75"/>
        <v>112878902.3</v>
      </c>
      <c r="X42" s="132">
        <f t="shared" si="75"/>
        <v>188131503.9</v>
      </c>
      <c r="Y42" s="132">
        <f t="shared" si="75"/>
        <v>376263007.8</v>
      </c>
      <c r="Z42" s="132">
        <f t="shared" si="75"/>
        <v>752526015.6</v>
      </c>
      <c r="AA42" s="132">
        <f t="shared" si="75"/>
        <v>1241667926</v>
      </c>
      <c r="AB42" s="132">
        <f t="shared" si="75"/>
        <v>1881315039</v>
      </c>
      <c r="AC42" s="132">
        <f t="shared" si="75"/>
        <v>3762630078</v>
      </c>
      <c r="AD42" s="101"/>
      <c r="AE42" s="101"/>
    </row>
    <row r="43">
      <c r="A43" s="98"/>
      <c r="B43" s="127">
        <v>35.0</v>
      </c>
      <c r="C43" s="94" t="str">
        <f t="shared" ref="C43:N43" si="76">if(C$7=0, if($B43=1, C$6, IF(and($B43&gt;C$7,$B43&lt;=sum(C$8,C$7)),(C$5-C$6)/(C$8-1),"")),IF($B43=1,C$6,IF(and($B43&gt;C$7,$B43&lt;=sum(C$8,C$7)),(C$5-C$6)/C$8,"")))</f>
        <v/>
      </c>
      <c r="D43" s="94" t="str">
        <f t="shared" si="76"/>
        <v/>
      </c>
      <c r="E43" s="94" t="str">
        <f t="shared" si="76"/>
        <v/>
      </c>
      <c r="F43" s="94">
        <f t="shared" si="76"/>
        <v>4722222.222</v>
      </c>
      <c r="G43" s="94">
        <f t="shared" si="76"/>
        <v>1111111.111</v>
      </c>
      <c r="H43" s="94">
        <f t="shared" si="76"/>
        <v>2222222.222</v>
      </c>
      <c r="I43" s="94">
        <f t="shared" si="76"/>
        <v>2914285.714</v>
      </c>
      <c r="J43" s="94">
        <f t="shared" si="76"/>
        <v>2881355.932</v>
      </c>
      <c r="K43" s="94">
        <f t="shared" si="76"/>
        <v>2500000</v>
      </c>
      <c r="L43" s="94" t="str">
        <f t="shared" si="76"/>
        <v/>
      </c>
      <c r="M43" s="94" t="str">
        <f t="shared" si="76"/>
        <v/>
      </c>
      <c r="N43" s="94">
        <f t="shared" si="76"/>
        <v>1142857.143</v>
      </c>
      <c r="O43" s="128">
        <f t="shared" si="5"/>
        <v>17494054.34</v>
      </c>
      <c r="P43" s="129">
        <f t="shared" si="6"/>
        <v>9198412.698</v>
      </c>
      <c r="Q43" s="129">
        <f t="shared" si="10"/>
        <v>770020069.9</v>
      </c>
      <c r="R43" s="130">
        <f t="shared" si="7"/>
        <v>0.7700200699</v>
      </c>
      <c r="S43" s="133">
        <f t="shared" si="11"/>
        <v>0.01749405434</v>
      </c>
      <c r="T43" s="133">
        <f t="shared" si="12"/>
        <v>0.02324710905</v>
      </c>
      <c r="U43" s="132">
        <f t="shared" ref="U43:AC43" si="77">$Q43*U$3</f>
        <v>25410662.31</v>
      </c>
      <c r="V43" s="132">
        <f t="shared" si="77"/>
        <v>38501003.5</v>
      </c>
      <c r="W43" s="132">
        <f t="shared" si="77"/>
        <v>115503010.5</v>
      </c>
      <c r="X43" s="132">
        <f t="shared" si="77"/>
        <v>192505017.5</v>
      </c>
      <c r="Y43" s="132">
        <f t="shared" si="77"/>
        <v>385010035</v>
      </c>
      <c r="Z43" s="132">
        <f t="shared" si="77"/>
        <v>770020069.9</v>
      </c>
      <c r="AA43" s="132">
        <f t="shared" si="77"/>
        <v>1270533115</v>
      </c>
      <c r="AB43" s="132">
        <f t="shared" si="77"/>
        <v>1925050175</v>
      </c>
      <c r="AC43" s="132">
        <f t="shared" si="77"/>
        <v>3850100350</v>
      </c>
      <c r="AD43" s="101"/>
      <c r="AE43" s="101"/>
    </row>
    <row r="44">
      <c r="A44" s="98"/>
      <c r="B44" s="127">
        <v>36.0</v>
      </c>
      <c r="C44" s="94" t="str">
        <f t="shared" ref="C44:N44" si="78">if(C$7=0, if($B44=1, C$6, IF(and($B44&gt;C$7,$B44&lt;=sum(C$8,C$7)),(C$5-C$6)/(C$8-1),"")),IF($B44=1,C$6,IF(and($B44&gt;C$7,$B44&lt;=sum(C$8,C$7)),(C$5-C$6)/C$8,"")))</f>
        <v/>
      </c>
      <c r="D44" s="94" t="str">
        <f t="shared" si="78"/>
        <v/>
      </c>
      <c r="E44" s="94" t="str">
        <f t="shared" si="78"/>
        <v/>
      </c>
      <c r="F44" s="94">
        <f t="shared" si="78"/>
        <v>4722222.222</v>
      </c>
      <c r="G44" s="94">
        <f t="shared" si="78"/>
        <v>1111111.111</v>
      </c>
      <c r="H44" s="94">
        <f t="shared" si="78"/>
        <v>2222222.222</v>
      </c>
      <c r="I44" s="94">
        <f t="shared" si="78"/>
        <v>2914285.714</v>
      </c>
      <c r="J44" s="94">
        <f t="shared" si="78"/>
        <v>2881355.932</v>
      </c>
      <c r="K44" s="94">
        <f t="shared" si="78"/>
        <v>2500000</v>
      </c>
      <c r="L44" s="94" t="str">
        <f t="shared" si="78"/>
        <v/>
      </c>
      <c r="M44" s="94" t="str">
        <f t="shared" si="78"/>
        <v/>
      </c>
      <c r="N44" s="94">
        <f t="shared" si="78"/>
        <v>1142857.143</v>
      </c>
      <c r="O44" s="128">
        <f t="shared" si="5"/>
        <v>17494054.34</v>
      </c>
      <c r="P44" s="129">
        <f t="shared" si="6"/>
        <v>9198412.698</v>
      </c>
      <c r="Q44" s="129">
        <f t="shared" si="10"/>
        <v>787514124.3</v>
      </c>
      <c r="R44" s="130">
        <f t="shared" si="7"/>
        <v>0.7875141243</v>
      </c>
      <c r="S44" s="133">
        <f t="shared" si="11"/>
        <v>0.01749405434</v>
      </c>
      <c r="T44" s="133">
        <f t="shared" si="12"/>
        <v>0.02271895893</v>
      </c>
      <c r="U44" s="132">
        <f t="shared" ref="U44:AC44" si="79">$Q44*U$3</f>
        <v>25987966.1</v>
      </c>
      <c r="V44" s="132">
        <f t="shared" si="79"/>
        <v>39375706.21</v>
      </c>
      <c r="W44" s="132">
        <f t="shared" si="79"/>
        <v>118127118.6</v>
      </c>
      <c r="X44" s="132">
        <f t="shared" si="79"/>
        <v>196878531.1</v>
      </c>
      <c r="Y44" s="134">
        <f t="shared" si="79"/>
        <v>393757062.1</v>
      </c>
      <c r="Z44" s="132">
        <f t="shared" si="79"/>
        <v>787514124.3</v>
      </c>
      <c r="AA44" s="132">
        <f t="shared" si="79"/>
        <v>1299398305</v>
      </c>
      <c r="AB44" s="132">
        <f t="shared" si="79"/>
        <v>1968785311</v>
      </c>
      <c r="AC44" s="132">
        <f t="shared" si="79"/>
        <v>3937570621</v>
      </c>
      <c r="AD44" s="101"/>
      <c r="AE44" s="101"/>
    </row>
    <row r="45">
      <c r="A45" s="98"/>
      <c r="B45" s="127">
        <v>37.0</v>
      </c>
      <c r="C45" s="94" t="str">
        <f t="shared" ref="C45:N45" si="80">if(C$7=0, if($B45=1, C$6, IF(and($B45&gt;C$7,$B45&lt;=sum(C$8,C$7)),(C$5-C$6)/(C$8-1),"")),IF($B45=1,C$6,IF(and($B45&gt;C$7,$B45&lt;=sum(C$8,C$7)),(C$5-C$6)/C$8,"")))</f>
        <v/>
      </c>
      <c r="D45" s="94" t="str">
        <f t="shared" si="80"/>
        <v/>
      </c>
      <c r="E45" s="94" t="str">
        <f t="shared" si="80"/>
        <v/>
      </c>
      <c r="F45" s="94">
        <f t="shared" si="80"/>
        <v>4722222.222</v>
      </c>
      <c r="G45" s="94">
        <f t="shared" si="80"/>
        <v>1111111.111</v>
      </c>
      <c r="H45" s="94">
        <f t="shared" si="80"/>
        <v>2222222.222</v>
      </c>
      <c r="I45" s="94" t="str">
        <f t="shared" si="80"/>
        <v/>
      </c>
      <c r="J45" s="94">
        <f t="shared" si="80"/>
        <v>2881355.932</v>
      </c>
      <c r="K45" s="94">
        <f t="shared" si="80"/>
        <v>2500000</v>
      </c>
      <c r="L45" s="94" t="str">
        <f t="shared" si="80"/>
        <v/>
      </c>
      <c r="M45" s="94" t="str">
        <f t="shared" si="80"/>
        <v/>
      </c>
      <c r="N45" s="94" t="str">
        <f t="shared" si="80"/>
        <v/>
      </c>
      <c r="O45" s="128">
        <f t="shared" si="5"/>
        <v>13436911.49</v>
      </c>
      <c r="P45" s="129">
        <f t="shared" si="6"/>
        <v>8055555.556</v>
      </c>
      <c r="Q45" s="129">
        <f t="shared" si="10"/>
        <v>800951035.8</v>
      </c>
      <c r="R45" s="130">
        <f t="shared" si="7"/>
        <v>0.8009510358</v>
      </c>
      <c r="S45" s="133">
        <f t="shared" si="11"/>
        <v>0.01343691149</v>
      </c>
      <c r="T45" s="133">
        <f t="shared" si="12"/>
        <v>0.01706243872</v>
      </c>
      <c r="U45" s="132">
        <f t="shared" ref="U45:AC45" si="81">$Q45*U$3</f>
        <v>26431384.18</v>
      </c>
      <c r="V45" s="132">
        <f t="shared" si="81"/>
        <v>40047551.79</v>
      </c>
      <c r="W45" s="132">
        <f t="shared" si="81"/>
        <v>120142655.4</v>
      </c>
      <c r="X45" s="132">
        <f t="shared" si="81"/>
        <v>200237758.9</v>
      </c>
      <c r="Y45" s="132">
        <f t="shared" si="81"/>
        <v>400475517.9</v>
      </c>
      <c r="Z45" s="132">
        <f t="shared" si="81"/>
        <v>800951035.8</v>
      </c>
      <c r="AA45" s="132">
        <f t="shared" si="81"/>
        <v>1321569209</v>
      </c>
      <c r="AB45" s="132">
        <f t="shared" si="81"/>
        <v>2002377589</v>
      </c>
      <c r="AC45" s="132">
        <f t="shared" si="81"/>
        <v>4004755179</v>
      </c>
      <c r="AD45" s="101"/>
      <c r="AE45" s="101"/>
    </row>
    <row r="46">
      <c r="A46" s="98"/>
      <c r="B46" s="127">
        <v>38.0</v>
      </c>
      <c r="C46" s="94" t="str">
        <f t="shared" ref="C46:N46" si="82">if(C$7=0, if($B46=1, C$6, IF(and($B46&gt;C$7,$B46&lt;=sum(C$8,C$7)),(C$5-C$6)/(C$8-1),"")),IF($B46=1,C$6,IF(and($B46&gt;C$7,$B46&lt;=sum(C$8,C$7)),(C$5-C$6)/C$8,"")))</f>
        <v/>
      </c>
      <c r="D46" s="94" t="str">
        <f t="shared" si="82"/>
        <v/>
      </c>
      <c r="E46" s="94" t="str">
        <f t="shared" si="82"/>
        <v/>
      </c>
      <c r="F46" s="94">
        <f t="shared" si="82"/>
        <v>4722222.222</v>
      </c>
      <c r="G46" s="94">
        <f t="shared" si="82"/>
        <v>1111111.111</v>
      </c>
      <c r="H46" s="94">
        <f t="shared" si="82"/>
        <v>2222222.222</v>
      </c>
      <c r="I46" s="94" t="str">
        <f t="shared" si="82"/>
        <v/>
      </c>
      <c r="J46" s="94">
        <f t="shared" si="82"/>
        <v>2881355.932</v>
      </c>
      <c r="K46" s="94">
        <f t="shared" si="82"/>
        <v>2500000</v>
      </c>
      <c r="L46" s="94" t="str">
        <f t="shared" si="82"/>
        <v/>
      </c>
      <c r="M46" s="94" t="str">
        <f t="shared" si="82"/>
        <v/>
      </c>
      <c r="N46" s="94" t="str">
        <f t="shared" si="82"/>
        <v/>
      </c>
      <c r="O46" s="128">
        <f t="shared" si="5"/>
        <v>13436911.49</v>
      </c>
      <c r="P46" s="129">
        <f t="shared" si="6"/>
        <v>8055555.556</v>
      </c>
      <c r="Q46" s="129">
        <f t="shared" si="10"/>
        <v>814387947.3</v>
      </c>
      <c r="R46" s="130">
        <f t="shared" si="7"/>
        <v>0.8143879473</v>
      </c>
      <c r="S46" s="133">
        <f t="shared" si="11"/>
        <v>0.01343691149</v>
      </c>
      <c r="T46" s="133">
        <f t="shared" si="12"/>
        <v>0.01677619591</v>
      </c>
      <c r="U46" s="132">
        <f t="shared" ref="U46:AC46" si="83">$Q46*U$3</f>
        <v>26874802.26</v>
      </c>
      <c r="V46" s="132">
        <f t="shared" si="83"/>
        <v>40719397.36</v>
      </c>
      <c r="W46" s="132">
        <f t="shared" si="83"/>
        <v>122158192.1</v>
      </c>
      <c r="X46" s="132">
        <f t="shared" si="83"/>
        <v>203596986.8</v>
      </c>
      <c r="Y46" s="132">
        <f t="shared" si="83"/>
        <v>407193973.6</v>
      </c>
      <c r="Z46" s="132">
        <f t="shared" si="83"/>
        <v>814387947.3</v>
      </c>
      <c r="AA46" s="132">
        <f t="shared" si="83"/>
        <v>1343740113</v>
      </c>
      <c r="AB46" s="132">
        <f t="shared" si="83"/>
        <v>2035969868</v>
      </c>
      <c r="AC46" s="132">
        <f t="shared" si="83"/>
        <v>4071939736</v>
      </c>
      <c r="AD46" s="101"/>
      <c r="AE46" s="101"/>
    </row>
    <row r="47">
      <c r="A47" s="98"/>
      <c r="B47" s="127">
        <v>39.0</v>
      </c>
      <c r="C47" s="94" t="str">
        <f t="shared" ref="C47:N47" si="84">if(C$7=0, if($B47=1, C$6, IF(and($B47&gt;C$7,$B47&lt;=sum(C$8,C$7)),(C$5-C$6)/(C$8-1),"")),IF($B47=1,C$6,IF(and($B47&gt;C$7,$B47&lt;=sum(C$8,C$7)),(C$5-C$6)/C$8,"")))</f>
        <v/>
      </c>
      <c r="D47" s="94" t="str">
        <f t="shared" si="84"/>
        <v/>
      </c>
      <c r="E47" s="94" t="str">
        <f t="shared" si="84"/>
        <v/>
      </c>
      <c r="F47" s="94">
        <f t="shared" si="84"/>
        <v>4722222.222</v>
      </c>
      <c r="G47" s="94">
        <f t="shared" si="84"/>
        <v>1111111.111</v>
      </c>
      <c r="H47" s="94">
        <f t="shared" si="84"/>
        <v>2222222.222</v>
      </c>
      <c r="I47" s="94" t="str">
        <f t="shared" si="84"/>
        <v/>
      </c>
      <c r="J47" s="94">
        <f t="shared" si="84"/>
        <v>2881355.932</v>
      </c>
      <c r="K47" s="94">
        <f t="shared" si="84"/>
        <v>2500000</v>
      </c>
      <c r="L47" s="94" t="str">
        <f t="shared" si="84"/>
        <v/>
      </c>
      <c r="M47" s="94" t="str">
        <f t="shared" si="84"/>
        <v/>
      </c>
      <c r="N47" s="94" t="str">
        <f t="shared" si="84"/>
        <v/>
      </c>
      <c r="O47" s="128">
        <f t="shared" si="5"/>
        <v>13436911.49</v>
      </c>
      <c r="P47" s="129">
        <f t="shared" si="6"/>
        <v>8055555.556</v>
      </c>
      <c r="Q47" s="129">
        <f t="shared" si="10"/>
        <v>827824858.8</v>
      </c>
      <c r="R47" s="130">
        <f t="shared" si="7"/>
        <v>0.8278248588</v>
      </c>
      <c r="S47" s="133">
        <f t="shared" si="11"/>
        <v>0.01343691149</v>
      </c>
      <c r="T47" s="133">
        <f t="shared" si="12"/>
        <v>0.01649939876</v>
      </c>
      <c r="U47" s="132">
        <f t="shared" ref="U47:AC47" si="85">$Q47*U$3</f>
        <v>27318220.34</v>
      </c>
      <c r="V47" s="132">
        <f t="shared" si="85"/>
        <v>41391242.94</v>
      </c>
      <c r="W47" s="132">
        <f t="shared" si="85"/>
        <v>124173728.8</v>
      </c>
      <c r="X47" s="132">
        <f t="shared" si="85"/>
        <v>206956214.7</v>
      </c>
      <c r="Y47" s="132">
        <f t="shared" si="85"/>
        <v>413912429.4</v>
      </c>
      <c r="Z47" s="132">
        <f t="shared" si="85"/>
        <v>827824858.8</v>
      </c>
      <c r="AA47" s="132">
        <f t="shared" si="85"/>
        <v>1365911017</v>
      </c>
      <c r="AB47" s="132">
        <f t="shared" si="85"/>
        <v>2069562147</v>
      </c>
      <c r="AC47" s="132">
        <f t="shared" si="85"/>
        <v>4139124294</v>
      </c>
      <c r="AD47" s="101"/>
      <c r="AE47" s="101"/>
    </row>
    <row r="48">
      <c r="A48" s="98"/>
      <c r="B48" s="127">
        <v>40.0</v>
      </c>
      <c r="C48" s="94" t="str">
        <f t="shared" ref="C48:N48" si="86">if(C$7=0, if($B48=1, C$6, IF(and($B48&gt;C$7,$B48&lt;=sum(C$8,C$7)),(C$5-C$6)/(C$8-1),"")),IF($B48=1,C$6,IF(and($B48&gt;C$7,$B48&lt;=sum(C$8,C$7)),(C$5-C$6)/C$8,"")))</f>
        <v/>
      </c>
      <c r="D48" s="94" t="str">
        <f t="shared" si="86"/>
        <v/>
      </c>
      <c r="E48" s="94" t="str">
        <f t="shared" si="86"/>
        <v/>
      </c>
      <c r="F48" s="94">
        <f t="shared" si="86"/>
        <v>4722222.222</v>
      </c>
      <c r="G48" s="94">
        <f t="shared" si="86"/>
        <v>1111111.111</v>
      </c>
      <c r="H48" s="94">
        <f t="shared" si="86"/>
        <v>2222222.222</v>
      </c>
      <c r="I48" s="94" t="str">
        <f t="shared" si="86"/>
        <v/>
      </c>
      <c r="J48" s="94">
        <f t="shared" si="86"/>
        <v>2881355.932</v>
      </c>
      <c r="K48" s="94">
        <f t="shared" si="86"/>
        <v>2500000</v>
      </c>
      <c r="L48" s="94" t="str">
        <f t="shared" si="86"/>
        <v/>
      </c>
      <c r="M48" s="94" t="str">
        <f t="shared" si="86"/>
        <v/>
      </c>
      <c r="N48" s="94" t="str">
        <f t="shared" si="86"/>
        <v/>
      </c>
      <c r="O48" s="128">
        <f t="shared" si="5"/>
        <v>13436911.49</v>
      </c>
      <c r="P48" s="129">
        <f t="shared" si="6"/>
        <v>8055555.556</v>
      </c>
      <c r="Q48" s="129">
        <f t="shared" si="10"/>
        <v>841261770.2</v>
      </c>
      <c r="R48" s="130">
        <f t="shared" si="7"/>
        <v>0.8412617702</v>
      </c>
      <c r="S48" s="133">
        <f t="shared" si="11"/>
        <v>0.01343691149</v>
      </c>
      <c r="T48" s="133">
        <f t="shared" si="12"/>
        <v>0.01623158733</v>
      </c>
      <c r="U48" s="132">
        <f t="shared" ref="U48:AC48" si="87">$Q48*U$3</f>
        <v>27761638.42</v>
      </c>
      <c r="V48" s="132">
        <f t="shared" si="87"/>
        <v>42063088.51</v>
      </c>
      <c r="W48" s="132">
        <f t="shared" si="87"/>
        <v>126189265.5</v>
      </c>
      <c r="X48" s="132">
        <f t="shared" si="87"/>
        <v>210315442.6</v>
      </c>
      <c r="Y48" s="132">
        <f t="shared" si="87"/>
        <v>420630885.1</v>
      </c>
      <c r="Z48" s="132">
        <f t="shared" si="87"/>
        <v>841261770.2</v>
      </c>
      <c r="AA48" s="132">
        <f t="shared" si="87"/>
        <v>1388081921</v>
      </c>
      <c r="AB48" s="132">
        <f t="shared" si="87"/>
        <v>2103154426</v>
      </c>
      <c r="AC48" s="132">
        <f t="shared" si="87"/>
        <v>4206308851</v>
      </c>
      <c r="AD48" s="101"/>
      <c r="AE48" s="101"/>
    </row>
    <row r="49">
      <c r="A49" s="98"/>
      <c r="B49" s="127">
        <v>41.0</v>
      </c>
      <c r="C49" s="94" t="str">
        <f t="shared" ref="C49:N49" si="88">if(C$7=0, if($B49=1, C$6, IF(and($B49&gt;C$7,$B49&lt;=sum(C$8,C$7)),(C$5-C$6)/(C$8-1),"")),IF($B49=1,C$6,IF(and($B49&gt;C$7,$B49&lt;=sum(C$8,C$7)),(C$5-C$6)/C$8,"")))</f>
        <v/>
      </c>
      <c r="D49" s="94" t="str">
        <f t="shared" si="88"/>
        <v/>
      </c>
      <c r="E49" s="94" t="str">
        <f t="shared" si="88"/>
        <v/>
      </c>
      <c r="F49" s="94">
        <f t="shared" si="88"/>
        <v>4722222.222</v>
      </c>
      <c r="G49" s="94">
        <f t="shared" si="88"/>
        <v>1111111.111</v>
      </c>
      <c r="H49" s="94">
        <f t="shared" si="88"/>
        <v>2222222.222</v>
      </c>
      <c r="I49" s="94" t="str">
        <f t="shared" si="88"/>
        <v/>
      </c>
      <c r="J49" s="94">
        <f t="shared" si="88"/>
        <v>2881355.932</v>
      </c>
      <c r="K49" s="94">
        <f t="shared" si="88"/>
        <v>2500000</v>
      </c>
      <c r="L49" s="94" t="str">
        <f t="shared" si="88"/>
        <v/>
      </c>
      <c r="M49" s="94" t="str">
        <f t="shared" si="88"/>
        <v/>
      </c>
      <c r="N49" s="94" t="str">
        <f t="shared" si="88"/>
        <v/>
      </c>
      <c r="O49" s="128">
        <f t="shared" si="5"/>
        <v>13436911.49</v>
      </c>
      <c r="P49" s="129">
        <f t="shared" si="6"/>
        <v>8055555.556</v>
      </c>
      <c r="Q49" s="129">
        <f t="shared" si="10"/>
        <v>854698681.7</v>
      </c>
      <c r="R49" s="130">
        <f t="shared" si="7"/>
        <v>0.8546986817</v>
      </c>
      <c r="S49" s="133">
        <f t="shared" si="11"/>
        <v>0.01343691149</v>
      </c>
      <c r="T49" s="133">
        <f t="shared" si="12"/>
        <v>0.01597233104</v>
      </c>
      <c r="U49" s="132">
        <f t="shared" ref="U49:AC49" si="89">$Q49*U$3</f>
        <v>28205056.5</v>
      </c>
      <c r="V49" s="132">
        <f t="shared" si="89"/>
        <v>42734934.09</v>
      </c>
      <c r="W49" s="132">
        <f t="shared" si="89"/>
        <v>128204802.3</v>
      </c>
      <c r="X49" s="132">
        <f t="shared" si="89"/>
        <v>213674670.4</v>
      </c>
      <c r="Y49" s="132">
        <f t="shared" si="89"/>
        <v>427349340.9</v>
      </c>
      <c r="Z49" s="132">
        <f t="shared" si="89"/>
        <v>854698681.7</v>
      </c>
      <c r="AA49" s="132">
        <f t="shared" si="89"/>
        <v>1410252825</v>
      </c>
      <c r="AB49" s="132">
        <f t="shared" si="89"/>
        <v>2136746704</v>
      </c>
      <c r="AC49" s="132">
        <f t="shared" si="89"/>
        <v>4273493409</v>
      </c>
      <c r="AD49" s="101"/>
      <c r="AE49" s="101"/>
    </row>
    <row r="50">
      <c r="A50" s="98"/>
      <c r="B50" s="127">
        <v>42.0</v>
      </c>
      <c r="C50" s="94" t="str">
        <f t="shared" ref="C50:N50" si="90">if(C$7=0, if($B50=1, C$6, IF(and($B50&gt;C$7,$B50&lt;=sum(C$8,C$7)),(C$5-C$6)/(C$8-1),"")),IF($B50=1,C$6,IF(and($B50&gt;C$7,$B50&lt;=sum(C$8,C$7)),(C$5-C$6)/C$8,"")))</f>
        <v/>
      </c>
      <c r="D50" s="94" t="str">
        <f t="shared" si="90"/>
        <v/>
      </c>
      <c r="E50" s="94" t="str">
        <f t="shared" si="90"/>
        <v/>
      </c>
      <c r="F50" s="94">
        <f t="shared" si="90"/>
        <v>4722222.222</v>
      </c>
      <c r="G50" s="94">
        <f t="shared" si="90"/>
        <v>1111111.111</v>
      </c>
      <c r="H50" s="94">
        <f t="shared" si="90"/>
        <v>2222222.222</v>
      </c>
      <c r="I50" s="94" t="str">
        <f t="shared" si="90"/>
        <v/>
      </c>
      <c r="J50" s="94">
        <f t="shared" si="90"/>
        <v>2881355.932</v>
      </c>
      <c r="K50" s="94">
        <f t="shared" si="90"/>
        <v>2500000</v>
      </c>
      <c r="L50" s="94" t="str">
        <f t="shared" si="90"/>
        <v/>
      </c>
      <c r="M50" s="94" t="str">
        <f t="shared" si="90"/>
        <v/>
      </c>
      <c r="N50" s="94" t="str">
        <f t="shared" si="90"/>
        <v/>
      </c>
      <c r="O50" s="128">
        <f t="shared" si="5"/>
        <v>13436911.49</v>
      </c>
      <c r="P50" s="129">
        <f t="shared" si="6"/>
        <v>8055555.556</v>
      </c>
      <c r="Q50" s="129">
        <f t="shared" si="10"/>
        <v>868135593.2</v>
      </c>
      <c r="R50" s="130">
        <f t="shared" si="7"/>
        <v>0.8681355932</v>
      </c>
      <c r="S50" s="133">
        <f t="shared" si="11"/>
        <v>0.01343691149</v>
      </c>
      <c r="T50" s="133">
        <f t="shared" si="12"/>
        <v>0.01572122641</v>
      </c>
      <c r="U50" s="132">
        <f t="shared" ref="U50:AC50" si="91">$Q50*U$3</f>
        <v>28648474.58</v>
      </c>
      <c r="V50" s="132">
        <f t="shared" si="91"/>
        <v>43406779.66</v>
      </c>
      <c r="W50" s="132">
        <f t="shared" si="91"/>
        <v>130220339</v>
      </c>
      <c r="X50" s="132">
        <f t="shared" si="91"/>
        <v>217033898.3</v>
      </c>
      <c r="Y50" s="132">
        <f t="shared" si="91"/>
        <v>434067796.6</v>
      </c>
      <c r="Z50" s="132">
        <f t="shared" si="91"/>
        <v>868135593.2</v>
      </c>
      <c r="AA50" s="132">
        <f t="shared" si="91"/>
        <v>1432423729</v>
      </c>
      <c r="AB50" s="132">
        <f t="shared" si="91"/>
        <v>2170338983</v>
      </c>
      <c r="AC50" s="132">
        <f t="shared" si="91"/>
        <v>4340677966</v>
      </c>
      <c r="AD50" s="101"/>
      <c r="AE50" s="101"/>
    </row>
    <row r="51">
      <c r="A51" s="98"/>
      <c r="B51" s="127">
        <v>43.0</v>
      </c>
      <c r="C51" s="94" t="str">
        <f t="shared" ref="C51:N51" si="92">if(C$7=0, if($B51=1, C$6, IF(and($B51&gt;C$7,$B51&lt;=sum(C$8,C$7)),(C$5-C$6)/(C$8-1),"")),IF($B51=1,C$6,IF(and($B51&gt;C$7,$B51&lt;=sum(C$8,C$7)),(C$5-C$6)/C$8,"")))</f>
        <v/>
      </c>
      <c r="D51" s="94" t="str">
        <f t="shared" si="92"/>
        <v/>
      </c>
      <c r="E51" s="94" t="str">
        <f t="shared" si="92"/>
        <v/>
      </c>
      <c r="F51" s="94">
        <f t="shared" si="92"/>
        <v>4722222.222</v>
      </c>
      <c r="G51" s="94">
        <f t="shared" si="92"/>
        <v>1111111.111</v>
      </c>
      <c r="H51" s="94" t="str">
        <f t="shared" si="92"/>
        <v/>
      </c>
      <c r="I51" s="94" t="str">
        <f t="shared" si="92"/>
        <v/>
      </c>
      <c r="J51" s="94">
        <f t="shared" si="92"/>
        <v>2881355.932</v>
      </c>
      <c r="K51" s="94">
        <f t="shared" si="92"/>
        <v>2500000</v>
      </c>
      <c r="L51" s="94" t="str">
        <f t="shared" si="92"/>
        <v/>
      </c>
      <c r="M51" s="94" t="str">
        <f t="shared" si="92"/>
        <v/>
      </c>
      <c r="N51" s="94" t="str">
        <f t="shared" si="92"/>
        <v/>
      </c>
      <c r="O51" s="128">
        <f t="shared" si="5"/>
        <v>11214689.27</v>
      </c>
      <c r="P51" s="129">
        <f t="shared" si="6"/>
        <v>5833333.333</v>
      </c>
      <c r="Q51" s="129">
        <f t="shared" si="10"/>
        <v>879350282.5</v>
      </c>
      <c r="R51" s="130">
        <f t="shared" si="7"/>
        <v>0.8793502825</v>
      </c>
      <c r="S51" s="133">
        <f t="shared" si="11"/>
        <v>0.01121468927</v>
      </c>
      <c r="T51" s="133">
        <f t="shared" si="12"/>
        <v>0.01291813094</v>
      </c>
      <c r="U51" s="132">
        <f t="shared" ref="U51:AC51" si="93">$Q51*U$3</f>
        <v>29018559.32</v>
      </c>
      <c r="V51" s="132">
        <f t="shared" si="93"/>
        <v>43967514.12</v>
      </c>
      <c r="W51" s="132">
        <f t="shared" si="93"/>
        <v>131902542.4</v>
      </c>
      <c r="X51" s="132">
        <f t="shared" si="93"/>
        <v>219837570.6</v>
      </c>
      <c r="Y51" s="132">
        <f t="shared" si="93"/>
        <v>439675141.2</v>
      </c>
      <c r="Z51" s="132">
        <f t="shared" si="93"/>
        <v>879350282.5</v>
      </c>
      <c r="AA51" s="132">
        <f t="shared" si="93"/>
        <v>1450927966</v>
      </c>
      <c r="AB51" s="132">
        <f t="shared" si="93"/>
        <v>2198375706</v>
      </c>
      <c r="AC51" s="132">
        <f t="shared" si="93"/>
        <v>4396751412</v>
      </c>
      <c r="AD51" s="101"/>
      <c r="AE51" s="101"/>
    </row>
    <row r="52">
      <c r="A52" s="98"/>
      <c r="B52" s="127">
        <v>44.0</v>
      </c>
      <c r="C52" s="94" t="str">
        <f t="shared" ref="C52:N52" si="94">if(C$7=0, if($B52=1, C$6, IF(and($B52&gt;C$7,$B52&lt;=sum(C$8,C$7)),(C$5-C$6)/(C$8-1),"")),IF($B52=1,C$6,IF(and($B52&gt;C$7,$B52&lt;=sum(C$8,C$7)),(C$5-C$6)/C$8,"")))</f>
        <v/>
      </c>
      <c r="D52" s="94" t="str">
        <f t="shared" si="94"/>
        <v/>
      </c>
      <c r="E52" s="94" t="str">
        <f t="shared" si="94"/>
        <v/>
      </c>
      <c r="F52" s="94">
        <f t="shared" si="94"/>
        <v>4722222.222</v>
      </c>
      <c r="G52" s="94">
        <f t="shared" si="94"/>
        <v>1111111.111</v>
      </c>
      <c r="H52" s="94" t="str">
        <f t="shared" si="94"/>
        <v/>
      </c>
      <c r="I52" s="94" t="str">
        <f t="shared" si="94"/>
        <v/>
      </c>
      <c r="J52" s="94">
        <f t="shared" si="94"/>
        <v>2881355.932</v>
      </c>
      <c r="K52" s="94">
        <f t="shared" si="94"/>
        <v>2500000</v>
      </c>
      <c r="L52" s="94" t="str">
        <f t="shared" si="94"/>
        <v/>
      </c>
      <c r="M52" s="94" t="str">
        <f t="shared" si="94"/>
        <v/>
      </c>
      <c r="N52" s="94" t="str">
        <f t="shared" si="94"/>
        <v/>
      </c>
      <c r="O52" s="128">
        <f t="shared" si="5"/>
        <v>11214689.27</v>
      </c>
      <c r="P52" s="129">
        <f t="shared" si="6"/>
        <v>5833333.333</v>
      </c>
      <c r="Q52" s="129">
        <f t="shared" si="10"/>
        <v>890564971.8</v>
      </c>
      <c r="R52" s="130">
        <f t="shared" si="7"/>
        <v>0.8905649718</v>
      </c>
      <c r="S52" s="133">
        <f t="shared" si="11"/>
        <v>0.01121468927</v>
      </c>
      <c r="T52" s="133">
        <f t="shared" si="12"/>
        <v>0.01275338109</v>
      </c>
      <c r="U52" s="132">
        <f t="shared" ref="U52:AC52" si="95">$Q52*U$3</f>
        <v>29388644.07</v>
      </c>
      <c r="V52" s="132">
        <f t="shared" si="95"/>
        <v>44528248.59</v>
      </c>
      <c r="W52" s="132">
        <f t="shared" si="95"/>
        <v>133584745.8</v>
      </c>
      <c r="X52" s="132">
        <f t="shared" si="95"/>
        <v>222641242.9</v>
      </c>
      <c r="Y52" s="132">
        <f t="shared" si="95"/>
        <v>445282485.9</v>
      </c>
      <c r="Z52" s="132">
        <f t="shared" si="95"/>
        <v>890564971.8</v>
      </c>
      <c r="AA52" s="132">
        <f t="shared" si="95"/>
        <v>1469432203</v>
      </c>
      <c r="AB52" s="132">
        <f t="shared" si="95"/>
        <v>2226412429</v>
      </c>
      <c r="AC52" s="132">
        <f t="shared" si="95"/>
        <v>4452824859</v>
      </c>
      <c r="AD52" s="101"/>
      <c r="AE52" s="101"/>
    </row>
    <row r="53">
      <c r="A53" s="98"/>
      <c r="B53" s="127">
        <v>45.0</v>
      </c>
      <c r="C53" s="94" t="str">
        <f t="shared" ref="C53:N53" si="96">if(C$7=0, if($B53=1, C$6, IF(and($B53&gt;C$7,$B53&lt;=sum(C$8,C$7)),(C$5-C$6)/(C$8-1),"")),IF($B53=1,C$6,IF(and($B53&gt;C$7,$B53&lt;=sum(C$8,C$7)),(C$5-C$6)/C$8,"")))</f>
        <v/>
      </c>
      <c r="D53" s="94" t="str">
        <f t="shared" si="96"/>
        <v/>
      </c>
      <c r="E53" s="94" t="str">
        <f t="shared" si="96"/>
        <v/>
      </c>
      <c r="F53" s="94">
        <f t="shared" si="96"/>
        <v>4722222.222</v>
      </c>
      <c r="G53" s="94">
        <f t="shared" si="96"/>
        <v>1111111.111</v>
      </c>
      <c r="H53" s="94" t="str">
        <f t="shared" si="96"/>
        <v/>
      </c>
      <c r="I53" s="94" t="str">
        <f t="shared" si="96"/>
        <v/>
      </c>
      <c r="J53" s="94">
        <f t="shared" si="96"/>
        <v>2881355.932</v>
      </c>
      <c r="K53" s="94">
        <f t="shared" si="96"/>
        <v>2500000</v>
      </c>
      <c r="L53" s="94" t="str">
        <f t="shared" si="96"/>
        <v/>
      </c>
      <c r="M53" s="94" t="str">
        <f t="shared" si="96"/>
        <v/>
      </c>
      <c r="N53" s="94" t="str">
        <f t="shared" si="96"/>
        <v/>
      </c>
      <c r="O53" s="128">
        <f t="shared" si="5"/>
        <v>11214689.27</v>
      </c>
      <c r="P53" s="129">
        <f t="shared" si="6"/>
        <v>5833333.333</v>
      </c>
      <c r="Q53" s="129">
        <f t="shared" si="10"/>
        <v>901779661</v>
      </c>
      <c r="R53" s="130">
        <f t="shared" si="7"/>
        <v>0.901779661</v>
      </c>
      <c r="S53" s="133">
        <f t="shared" si="11"/>
        <v>0.01121468927</v>
      </c>
      <c r="T53" s="133">
        <f t="shared" si="12"/>
        <v>0.01259278056</v>
      </c>
      <c r="U53" s="132">
        <f t="shared" ref="U53:AC53" si="97">$Q53*U$3</f>
        <v>29758728.81</v>
      </c>
      <c r="V53" s="132">
        <f t="shared" si="97"/>
        <v>45088983.05</v>
      </c>
      <c r="W53" s="132">
        <f t="shared" si="97"/>
        <v>135266949.2</v>
      </c>
      <c r="X53" s="132">
        <f t="shared" si="97"/>
        <v>225444915.3</v>
      </c>
      <c r="Y53" s="132">
        <f t="shared" si="97"/>
        <v>450889830.5</v>
      </c>
      <c r="Z53" s="132">
        <f t="shared" si="97"/>
        <v>901779661</v>
      </c>
      <c r="AA53" s="132">
        <f t="shared" si="97"/>
        <v>1487936441</v>
      </c>
      <c r="AB53" s="132">
        <f t="shared" si="97"/>
        <v>2254449153</v>
      </c>
      <c r="AC53" s="132">
        <f t="shared" si="97"/>
        <v>4508898305</v>
      </c>
      <c r="AD53" s="101"/>
      <c r="AE53" s="101"/>
    </row>
    <row r="54">
      <c r="A54" s="98"/>
      <c r="B54" s="127">
        <v>46.0</v>
      </c>
      <c r="C54" s="94" t="str">
        <f t="shared" ref="C54:N54" si="98">if(C$7=0, if($B54=1, C$6, IF(and($B54&gt;C$7,$B54&lt;=sum(C$8,C$7)),(C$5-C$6)/(C$8-1),"")),IF($B54=1,C$6,IF(and($B54&gt;C$7,$B54&lt;=sum(C$8,C$7)),(C$5-C$6)/C$8,"")))</f>
        <v/>
      </c>
      <c r="D54" s="94" t="str">
        <f t="shared" si="98"/>
        <v/>
      </c>
      <c r="E54" s="94" t="str">
        <f t="shared" si="98"/>
        <v/>
      </c>
      <c r="F54" s="94">
        <f t="shared" si="98"/>
        <v>4722222.222</v>
      </c>
      <c r="G54" s="94">
        <f t="shared" si="98"/>
        <v>1111111.111</v>
      </c>
      <c r="H54" s="94" t="str">
        <f t="shared" si="98"/>
        <v/>
      </c>
      <c r="I54" s="94" t="str">
        <f t="shared" si="98"/>
        <v/>
      </c>
      <c r="J54" s="94">
        <f t="shared" si="98"/>
        <v>2881355.932</v>
      </c>
      <c r="K54" s="94">
        <f t="shared" si="98"/>
        <v>2500000</v>
      </c>
      <c r="L54" s="94" t="str">
        <f t="shared" si="98"/>
        <v/>
      </c>
      <c r="M54" s="94" t="str">
        <f t="shared" si="98"/>
        <v/>
      </c>
      <c r="N54" s="94" t="str">
        <f t="shared" si="98"/>
        <v/>
      </c>
      <c r="O54" s="128">
        <f t="shared" si="5"/>
        <v>11214689.27</v>
      </c>
      <c r="P54" s="129">
        <f t="shared" si="6"/>
        <v>5833333.333</v>
      </c>
      <c r="Q54" s="129">
        <f t="shared" si="10"/>
        <v>912994350.3</v>
      </c>
      <c r="R54" s="130">
        <f t="shared" si="7"/>
        <v>0.9129943503</v>
      </c>
      <c r="S54" s="133">
        <f t="shared" si="11"/>
        <v>0.01121468927</v>
      </c>
      <c r="T54" s="133">
        <f t="shared" si="12"/>
        <v>0.01243617454</v>
      </c>
      <c r="U54" s="132">
        <f t="shared" ref="U54:AC54" si="99">$Q54*U$3</f>
        <v>30128813.56</v>
      </c>
      <c r="V54" s="132">
        <f t="shared" si="99"/>
        <v>45649717.51</v>
      </c>
      <c r="W54" s="132">
        <f t="shared" si="99"/>
        <v>136949152.5</v>
      </c>
      <c r="X54" s="132">
        <f t="shared" si="99"/>
        <v>228248587.6</v>
      </c>
      <c r="Y54" s="132">
        <f t="shared" si="99"/>
        <v>456497175.1</v>
      </c>
      <c r="Z54" s="132">
        <f t="shared" si="99"/>
        <v>912994350.3</v>
      </c>
      <c r="AA54" s="132">
        <f t="shared" si="99"/>
        <v>1506440678</v>
      </c>
      <c r="AB54" s="132">
        <f t="shared" si="99"/>
        <v>2282485876</v>
      </c>
      <c r="AC54" s="132">
        <f t="shared" si="99"/>
        <v>4564971751</v>
      </c>
      <c r="AD54" s="101"/>
      <c r="AE54" s="101"/>
    </row>
    <row r="55">
      <c r="A55" s="98"/>
      <c r="B55" s="127">
        <v>47.0</v>
      </c>
      <c r="C55" s="94" t="str">
        <f t="shared" ref="C55:N55" si="100">if(C$7=0, if($B55=1, C$6, IF(and($B55&gt;C$7,$B55&lt;=sum(C$8,C$7)),(C$5-C$6)/(C$8-1),"")),IF($B55=1,C$6,IF(and($B55&gt;C$7,$B55&lt;=sum(C$8,C$7)),(C$5-C$6)/C$8,"")))</f>
        <v/>
      </c>
      <c r="D55" s="94" t="str">
        <f t="shared" si="100"/>
        <v/>
      </c>
      <c r="E55" s="94" t="str">
        <f t="shared" si="100"/>
        <v/>
      </c>
      <c r="F55" s="94">
        <f t="shared" si="100"/>
        <v>4722222.222</v>
      </c>
      <c r="G55" s="94">
        <f t="shared" si="100"/>
        <v>1111111.111</v>
      </c>
      <c r="H55" s="94" t="str">
        <f t="shared" si="100"/>
        <v/>
      </c>
      <c r="I55" s="94" t="str">
        <f t="shared" si="100"/>
        <v/>
      </c>
      <c r="J55" s="94">
        <f t="shared" si="100"/>
        <v>2881355.932</v>
      </c>
      <c r="K55" s="94">
        <f t="shared" si="100"/>
        <v>2500000</v>
      </c>
      <c r="L55" s="94" t="str">
        <f t="shared" si="100"/>
        <v/>
      </c>
      <c r="M55" s="94" t="str">
        <f t="shared" si="100"/>
        <v/>
      </c>
      <c r="N55" s="94" t="str">
        <f t="shared" si="100"/>
        <v/>
      </c>
      <c r="O55" s="128">
        <f t="shared" si="5"/>
        <v>11214689.27</v>
      </c>
      <c r="P55" s="129">
        <f t="shared" si="6"/>
        <v>5833333.333</v>
      </c>
      <c r="Q55" s="129">
        <f t="shared" si="10"/>
        <v>924209039.5</v>
      </c>
      <c r="R55" s="130">
        <f t="shared" si="7"/>
        <v>0.9242090395</v>
      </c>
      <c r="S55" s="133">
        <f t="shared" si="11"/>
        <v>0.01121468927</v>
      </c>
      <c r="T55" s="133">
        <f t="shared" si="12"/>
        <v>0.01228341584</v>
      </c>
      <c r="U55" s="132">
        <f t="shared" ref="U55:AC55" si="101">$Q55*U$3</f>
        <v>30498898.31</v>
      </c>
      <c r="V55" s="132">
        <f t="shared" si="101"/>
        <v>46210451.98</v>
      </c>
      <c r="W55" s="132">
        <f t="shared" si="101"/>
        <v>138631355.9</v>
      </c>
      <c r="X55" s="132">
        <f t="shared" si="101"/>
        <v>231052259.9</v>
      </c>
      <c r="Y55" s="132">
        <f t="shared" si="101"/>
        <v>462104519.8</v>
      </c>
      <c r="Z55" s="132">
        <f t="shared" si="101"/>
        <v>924209039.5</v>
      </c>
      <c r="AA55" s="132">
        <f t="shared" si="101"/>
        <v>1524944915</v>
      </c>
      <c r="AB55" s="132">
        <f t="shared" si="101"/>
        <v>2310522599</v>
      </c>
      <c r="AC55" s="132">
        <f t="shared" si="101"/>
        <v>4621045198</v>
      </c>
      <c r="AD55" s="101"/>
      <c r="AE55" s="101"/>
    </row>
    <row r="56">
      <c r="A56" s="98"/>
      <c r="B56" s="127">
        <v>48.0</v>
      </c>
      <c r="C56" s="94" t="str">
        <f t="shared" ref="C56:N56" si="102">if(C$7=0, if($B56=1, C$6, IF(and($B56&gt;C$7,$B56&lt;=sum(C$8,C$7)),(C$5-C$6)/(C$8-1),"")),IF($B56=1,C$6,IF(and($B56&gt;C$7,$B56&lt;=sum(C$8,C$7)),(C$5-C$6)/C$8,"")))</f>
        <v/>
      </c>
      <c r="D56" s="94" t="str">
        <f t="shared" si="102"/>
        <v/>
      </c>
      <c r="E56" s="94" t="str">
        <f t="shared" si="102"/>
        <v/>
      </c>
      <c r="F56" s="94">
        <f t="shared" si="102"/>
        <v>4722222.222</v>
      </c>
      <c r="G56" s="94">
        <f t="shared" si="102"/>
        <v>1111111.111</v>
      </c>
      <c r="H56" s="94" t="str">
        <f t="shared" si="102"/>
        <v/>
      </c>
      <c r="I56" s="94" t="str">
        <f t="shared" si="102"/>
        <v/>
      </c>
      <c r="J56" s="94">
        <f t="shared" si="102"/>
        <v>2881355.932</v>
      </c>
      <c r="K56" s="94">
        <f t="shared" si="102"/>
        <v>2500000</v>
      </c>
      <c r="L56" s="94" t="str">
        <f t="shared" si="102"/>
        <v/>
      </c>
      <c r="M56" s="94" t="str">
        <f t="shared" si="102"/>
        <v/>
      </c>
      <c r="N56" s="94" t="str">
        <f t="shared" si="102"/>
        <v/>
      </c>
      <c r="O56" s="128">
        <f t="shared" si="5"/>
        <v>11214689.27</v>
      </c>
      <c r="P56" s="129">
        <f t="shared" si="6"/>
        <v>5833333.333</v>
      </c>
      <c r="Q56" s="129">
        <f t="shared" si="10"/>
        <v>935423728.8</v>
      </c>
      <c r="R56" s="130">
        <f t="shared" si="7"/>
        <v>0.9354237288</v>
      </c>
      <c r="S56" s="133">
        <f t="shared" si="11"/>
        <v>0.01121468927</v>
      </c>
      <c r="T56" s="133">
        <f t="shared" si="12"/>
        <v>0.0121343644</v>
      </c>
      <c r="U56" s="132">
        <f t="shared" ref="U56:AC56" si="103">$Q56*U$3</f>
        <v>30868983.05</v>
      </c>
      <c r="V56" s="132">
        <f t="shared" si="103"/>
        <v>46771186.44</v>
      </c>
      <c r="W56" s="132">
        <f t="shared" si="103"/>
        <v>140313559.3</v>
      </c>
      <c r="X56" s="132">
        <f t="shared" si="103"/>
        <v>233855932.2</v>
      </c>
      <c r="Y56" s="132">
        <f t="shared" si="103"/>
        <v>467711864.4</v>
      </c>
      <c r="Z56" s="132">
        <f t="shared" si="103"/>
        <v>935423728.8</v>
      </c>
      <c r="AA56" s="132">
        <f t="shared" si="103"/>
        <v>1543449153</v>
      </c>
      <c r="AB56" s="132">
        <f t="shared" si="103"/>
        <v>2338559322</v>
      </c>
      <c r="AC56" s="132">
        <f t="shared" si="103"/>
        <v>4677118644</v>
      </c>
      <c r="AD56" s="101"/>
      <c r="AE56" s="101"/>
    </row>
    <row r="57">
      <c r="A57" s="98"/>
      <c r="B57" s="127">
        <v>49.0</v>
      </c>
      <c r="C57" s="94" t="str">
        <f t="shared" ref="C57:N57" si="104">if(C$7=0, if($B57=1, C$6, IF(and($B57&gt;C$7,$B57&lt;=sum(C$8,C$7)),(C$5-C$6)/(C$8-1),"")),IF($B57=1,C$6,IF(and($B57&gt;C$7,$B57&lt;=sum(C$8,C$7)),(C$5-C$6)/C$8,"")))</f>
        <v/>
      </c>
      <c r="D57" s="94" t="str">
        <f t="shared" si="104"/>
        <v/>
      </c>
      <c r="E57" s="94" t="str">
        <f t="shared" si="104"/>
        <v/>
      </c>
      <c r="F57" s="94" t="str">
        <f t="shared" si="104"/>
        <v/>
      </c>
      <c r="G57" s="94" t="str">
        <f t="shared" si="104"/>
        <v/>
      </c>
      <c r="H57" s="94" t="str">
        <f t="shared" si="104"/>
        <v/>
      </c>
      <c r="I57" s="94" t="str">
        <f t="shared" si="104"/>
        <v/>
      </c>
      <c r="J57" s="94">
        <f t="shared" si="104"/>
        <v>2881355.932</v>
      </c>
      <c r="K57" s="94">
        <f t="shared" si="104"/>
        <v>2500000</v>
      </c>
      <c r="L57" s="94" t="str">
        <f t="shared" si="104"/>
        <v/>
      </c>
      <c r="M57" s="94" t="str">
        <f t="shared" si="104"/>
        <v/>
      </c>
      <c r="N57" s="94" t="str">
        <f t="shared" si="104"/>
        <v/>
      </c>
      <c r="O57" s="128">
        <f t="shared" si="5"/>
        <v>5381355.932</v>
      </c>
      <c r="P57" s="129">
        <f t="shared" si="6"/>
        <v>0</v>
      </c>
      <c r="Q57" s="129">
        <f t="shared" si="10"/>
        <v>940805084.7</v>
      </c>
      <c r="R57" s="130">
        <f t="shared" si="7"/>
        <v>0.9408050847</v>
      </c>
      <c r="S57" s="133">
        <f t="shared" si="11"/>
        <v>0.005381355932</v>
      </c>
      <c r="T57" s="133">
        <f t="shared" si="12"/>
        <v>0.005752853778</v>
      </c>
      <c r="U57" s="132">
        <f t="shared" ref="U57:AC57" si="105">$Q57*U$3</f>
        <v>31046567.8</v>
      </c>
      <c r="V57" s="132">
        <f t="shared" si="105"/>
        <v>47040254.24</v>
      </c>
      <c r="W57" s="132">
        <f t="shared" si="105"/>
        <v>141120762.7</v>
      </c>
      <c r="X57" s="132">
        <f t="shared" si="105"/>
        <v>235201271.2</v>
      </c>
      <c r="Y57" s="132">
        <f t="shared" si="105"/>
        <v>470402542.4</v>
      </c>
      <c r="Z57" s="132">
        <f t="shared" si="105"/>
        <v>940805084.7</v>
      </c>
      <c r="AA57" s="132">
        <f t="shared" si="105"/>
        <v>1552328390</v>
      </c>
      <c r="AB57" s="132">
        <f t="shared" si="105"/>
        <v>2352012712</v>
      </c>
      <c r="AC57" s="132">
        <f t="shared" si="105"/>
        <v>4704025424</v>
      </c>
      <c r="AD57" s="101"/>
      <c r="AE57" s="101"/>
    </row>
    <row r="58">
      <c r="A58" s="98"/>
      <c r="B58" s="127">
        <v>50.0</v>
      </c>
      <c r="C58" s="94" t="str">
        <f t="shared" ref="C58:N58" si="106">if(C$7=0, if($B58=1, C$6, IF(and($B58&gt;C$7,$B58&lt;=sum(C$8,C$7)),(C$5-C$6)/(C$8-1),"")),IF($B58=1,C$6,IF(and($B58&gt;C$7,$B58&lt;=sum(C$8,C$7)),(C$5-C$6)/C$8,"")))</f>
        <v/>
      </c>
      <c r="D58" s="94" t="str">
        <f t="shared" si="106"/>
        <v/>
      </c>
      <c r="E58" s="94" t="str">
        <f t="shared" si="106"/>
        <v/>
      </c>
      <c r="F58" s="94" t="str">
        <f t="shared" si="106"/>
        <v/>
      </c>
      <c r="G58" s="94" t="str">
        <f t="shared" si="106"/>
        <v/>
      </c>
      <c r="H58" s="94" t="str">
        <f t="shared" si="106"/>
        <v/>
      </c>
      <c r="I58" s="94" t="str">
        <f t="shared" si="106"/>
        <v/>
      </c>
      <c r="J58" s="94">
        <f t="shared" si="106"/>
        <v>2881355.932</v>
      </c>
      <c r="K58" s="94">
        <f t="shared" si="106"/>
        <v>2500000</v>
      </c>
      <c r="L58" s="94" t="str">
        <f t="shared" si="106"/>
        <v/>
      </c>
      <c r="M58" s="94" t="str">
        <f t="shared" si="106"/>
        <v/>
      </c>
      <c r="N58" s="94" t="str">
        <f t="shared" si="106"/>
        <v/>
      </c>
      <c r="O58" s="128">
        <f t="shared" si="5"/>
        <v>5381355.932</v>
      </c>
      <c r="P58" s="129">
        <f t="shared" si="6"/>
        <v>0</v>
      </c>
      <c r="Q58" s="129">
        <f t="shared" si="10"/>
        <v>946186440.7</v>
      </c>
      <c r="R58" s="130">
        <f t="shared" si="7"/>
        <v>0.9461864407</v>
      </c>
      <c r="S58" s="133">
        <f t="shared" si="11"/>
        <v>0.005381355932</v>
      </c>
      <c r="T58" s="133">
        <f t="shared" si="12"/>
        <v>0.005719947755</v>
      </c>
      <c r="U58" s="132">
        <f t="shared" ref="U58:AC58" si="107">$Q58*U$3</f>
        <v>31224152.54</v>
      </c>
      <c r="V58" s="132">
        <f t="shared" si="107"/>
        <v>47309322.03</v>
      </c>
      <c r="W58" s="132">
        <f t="shared" si="107"/>
        <v>141927966.1</v>
      </c>
      <c r="X58" s="132">
        <f t="shared" si="107"/>
        <v>236546610.2</v>
      </c>
      <c r="Y58" s="132">
        <f t="shared" si="107"/>
        <v>473093220.3</v>
      </c>
      <c r="Z58" s="132">
        <f t="shared" si="107"/>
        <v>946186440.7</v>
      </c>
      <c r="AA58" s="132">
        <f t="shared" si="107"/>
        <v>1561207627</v>
      </c>
      <c r="AB58" s="132">
        <f t="shared" si="107"/>
        <v>2365466102</v>
      </c>
      <c r="AC58" s="132">
        <f t="shared" si="107"/>
        <v>4730932203</v>
      </c>
      <c r="AD58" s="101"/>
      <c r="AE58" s="101"/>
    </row>
    <row r="59">
      <c r="A59" s="98"/>
      <c r="B59" s="127">
        <v>51.0</v>
      </c>
      <c r="C59" s="94" t="str">
        <f t="shared" ref="C59:N59" si="108">if(C$7=0, if($B59=1, C$6, IF(and($B59&gt;C$7,$B59&lt;=sum(C$8,C$7)),(C$5-C$6)/(C$8-1),"")),IF($B59=1,C$6,IF(and($B59&gt;C$7,$B59&lt;=sum(C$8,C$7)),(C$5-C$6)/C$8,"")))</f>
        <v/>
      </c>
      <c r="D59" s="94" t="str">
        <f t="shared" si="108"/>
        <v/>
      </c>
      <c r="E59" s="94" t="str">
        <f t="shared" si="108"/>
        <v/>
      </c>
      <c r="F59" s="94" t="str">
        <f t="shared" si="108"/>
        <v/>
      </c>
      <c r="G59" s="94" t="str">
        <f t="shared" si="108"/>
        <v/>
      </c>
      <c r="H59" s="94" t="str">
        <f t="shared" si="108"/>
        <v/>
      </c>
      <c r="I59" s="94" t="str">
        <f t="shared" si="108"/>
        <v/>
      </c>
      <c r="J59" s="94">
        <f t="shared" si="108"/>
        <v>2881355.932</v>
      </c>
      <c r="K59" s="94">
        <f t="shared" si="108"/>
        <v>2500000</v>
      </c>
      <c r="L59" s="94" t="str">
        <f t="shared" si="108"/>
        <v/>
      </c>
      <c r="M59" s="94" t="str">
        <f t="shared" si="108"/>
        <v/>
      </c>
      <c r="N59" s="94" t="str">
        <f t="shared" si="108"/>
        <v/>
      </c>
      <c r="O59" s="128">
        <f t="shared" si="5"/>
        <v>5381355.932</v>
      </c>
      <c r="P59" s="129">
        <f t="shared" si="6"/>
        <v>0</v>
      </c>
      <c r="Q59" s="129">
        <f t="shared" si="10"/>
        <v>951567796.6</v>
      </c>
      <c r="R59" s="130">
        <f t="shared" si="7"/>
        <v>0.9515677966</v>
      </c>
      <c r="S59" s="133">
        <f t="shared" si="11"/>
        <v>0.005381355932</v>
      </c>
      <c r="T59" s="133">
        <f t="shared" si="12"/>
        <v>0.005687416032</v>
      </c>
      <c r="U59" s="132">
        <f t="shared" ref="U59:AC59" si="109">$Q59*U$3</f>
        <v>31401737.29</v>
      </c>
      <c r="V59" s="132">
        <f t="shared" si="109"/>
        <v>47578389.83</v>
      </c>
      <c r="W59" s="132">
        <f t="shared" si="109"/>
        <v>142735169.5</v>
      </c>
      <c r="X59" s="132">
        <f t="shared" si="109"/>
        <v>237891949.2</v>
      </c>
      <c r="Y59" s="132">
        <f t="shared" si="109"/>
        <v>475783898.3</v>
      </c>
      <c r="Z59" s="132">
        <f t="shared" si="109"/>
        <v>951567796.6</v>
      </c>
      <c r="AA59" s="132">
        <f t="shared" si="109"/>
        <v>1570086864</v>
      </c>
      <c r="AB59" s="132">
        <f t="shared" si="109"/>
        <v>2378919492</v>
      </c>
      <c r="AC59" s="132">
        <f t="shared" si="109"/>
        <v>4757838983</v>
      </c>
      <c r="AD59" s="101"/>
      <c r="AE59" s="101"/>
    </row>
    <row r="60">
      <c r="A60" s="98"/>
      <c r="B60" s="127">
        <v>52.0</v>
      </c>
      <c r="C60" s="94" t="str">
        <f t="shared" ref="C60:N60" si="110">if(C$7=0, if($B60=1, C$6, IF(and($B60&gt;C$7,$B60&lt;=sum(C$8,C$7)),(C$5-C$6)/(C$8-1),"")),IF($B60=1,C$6,IF(and($B60&gt;C$7,$B60&lt;=sum(C$8,C$7)),(C$5-C$6)/C$8,"")))</f>
        <v/>
      </c>
      <c r="D60" s="94" t="str">
        <f t="shared" si="110"/>
        <v/>
      </c>
      <c r="E60" s="94" t="str">
        <f t="shared" si="110"/>
        <v/>
      </c>
      <c r="F60" s="94" t="str">
        <f t="shared" si="110"/>
        <v/>
      </c>
      <c r="G60" s="94" t="str">
        <f t="shared" si="110"/>
        <v/>
      </c>
      <c r="H60" s="94" t="str">
        <f t="shared" si="110"/>
        <v/>
      </c>
      <c r="I60" s="94" t="str">
        <f t="shared" si="110"/>
        <v/>
      </c>
      <c r="J60" s="94">
        <f t="shared" si="110"/>
        <v>2881355.932</v>
      </c>
      <c r="K60" s="94">
        <f t="shared" si="110"/>
        <v>2500000</v>
      </c>
      <c r="L60" s="94" t="str">
        <f t="shared" si="110"/>
        <v/>
      </c>
      <c r="M60" s="94" t="str">
        <f t="shared" si="110"/>
        <v/>
      </c>
      <c r="N60" s="94" t="str">
        <f t="shared" si="110"/>
        <v/>
      </c>
      <c r="O60" s="128">
        <f t="shared" si="5"/>
        <v>5381355.932</v>
      </c>
      <c r="P60" s="129">
        <f t="shared" si="6"/>
        <v>0</v>
      </c>
      <c r="Q60" s="129">
        <f t="shared" si="10"/>
        <v>956949152.5</v>
      </c>
      <c r="R60" s="130">
        <f t="shared" si="7"/>
        <v>0.9569491525</v>
      </c>
      <c r="S60" s="133">
        <f t="shared" si="11"/>
        <v>0.005381355932</v>
      </c>
      <c r="T60" s="133">
        <f t="shared" si="12"/>
        <v>0.00565525226</v>
      </c>
      <c r="U60" s="132">
        <f t="shared" ref="U60:AC60" si="111">$Q60*U$3</f>
        <v>31579322.03</v>
      </c>
      <c r="V60" s="132">
        <f t="shared" si="111"/>
        <v>47847457.63</v>
      </c>
      <c r="W60" s="132">
        <f t="shared" si="111"/>
        <v>143542372.9</v>
      </c>
      <c r="X60" s="132">
        <f t="shared" si="111"/>
        <v>239237288.1</v>
      </c>
      <c r="Y60" s="132">
        <f t="shared" si="111"/>
        <v>478474576.3</v>
      </c>
      <c r="Z60" s="132">
        <f t="shared" si="111"/>
        <v>956949152.5</v>
      </c>
      <c r="AA60" s="132">
        <f t="shared" si="111"/>
        <v>1578966102</v>
      </c>
      <c r="AB60" s="132">
        <f t="shared" si="111"/>
        <v>2392372881</v>
      </c>
      <c r="AC60" s="132">
        <f t="shared" si="111"/>
        <v>4784745763</v>
      </c>
      <c r="AD60" s="101"/>
      <c r="AE60" s="101"/>
    </row>
    <row r="61">
      <c r="A61" s="98"/>
      <c r="B61" s="127">
        <v>53.0</v>
      </c>
      <c r="C61" s="94" t="str">
        <f t="shared" ref="C61:N61" si="112">if(C$7=0, if($B61=1, C$6, IF(and($B61&gt;C$7,$B61&lt;=sum(C$8,C$7)),(C$5-C$6)/(C$8-1),"")),IF($B61=1,C$6,IF(and($B61&gt;C$7,$B61&lt;=sum(C$8,C$7)),(C$5-C$6)/C$8,"")))</f>
        <v/>
      </c>
      <c r="D61" s="94" t="str">
        <f t="shared" si="112"/>
        <v/>
      </c>
      <c r="E61" s="94" t="str">
        <f t="shared" si="112"/>
        <v/>
      </c>
      <c r="F61" s="94" t="str">
        <f t="shared" si="112"/>
        <v/>
      </c>
      <c r="G61" s="94" t="str">
        <f t="shared" si="112"/>
        <v/>
      </c>
      <c r="H61" s="94" t="str">
        <f t="shared" si="112"/>
        <v/>
      </c>
      <c r="I61" s="94" t="str">
        <f t="shared" si="112"/>
        <v/>
      </c>
      <c r="J61" s="94">
        <f t="shared" si="112"/>
        <v>2881355.932</v>
      </c>
      <c r="K61" s="94">
        <f t="shared" si="112"/>
        <v>2500000</v>
      </c>
      <c r="L61" s="94" t="str">
        <f t="shared" si="112"/>
        <v/>
      </c>
      <c r="M61" s="94" t="str">
        <f t="shared" si="112"/>
        <v/>
      </c>
      <c r="N61" s="94" t="str">
        <f t="shared" si="112"/>
        <v/>
      </c>
      <c r="O61" s="128">
        <f t="shared" si="5"/>
        <v>5381355.932</v>
      </c>
      <c r="P61" s="129">
        <f t="shared" si="6"/>
        <v>0</v>
      </c>
      <c r="Q61" s="129">
        <f t="shared" si="10"/>
        <v>962330508.5</v>
      </c>
      <c r="R61" s="130">
        <f t="shared" si="7"/>
        <v>0.9623305085</v>
      </c>
      <c r="S61" s="133">
        <f t="shared" si="11"/>
        <v>0.005381355932</v>
      </c>
      <c r="T61" s="133">
        <f t="shared" si="12"/>
        <v>0.00562345023</v>
      </c>
      <c r="U61" s="132">
        <f t="shared" ref="U61:AC61" si="113">$Q61*U$3</f>
        <v>31756906.78</v>
      </c>
      <c r="V61" s="132">
        <f t="shared" si="113"/>
        <v>48116525.42</v>
      </c>
      <c r="W61" s="132">
        <f t="shared" si="113"/>
        <v>144349576.3</v>
      </c>
      <c r="X61" s="132">
        <f t="shared" si="113"/>
        <v>240582627.1</v>
      </c>
      <c r="Y61" s="132">
        <f t="shared" si="113"/>
        <v>481165254.2</v>
      </c>
      <c r="Z61" s="132">
        <f t="shared" si="113"/>
        <v>962330508.5</v>
      </c>
      <c r="AA61" s="132">
        <f t="shared" si="113"/>
        <v>1587845339</v>
      </c>
      <c r="AB61" s="132">
        <f t="shared" si="113"/>
        <v>2405826271</v>
      </c>
      <c r="AC61" s="132">
        <f t="shared" si="113"/>
        <v>4811652542</v>
      </c>
      <c r="AD61" s="101"/>
      <c r="AE61" s="101"/>
    </row>
    <row r="62">
      <c r="A62" s="98"/>
      <c r="B62" s="127">
        <v>54.0</v>
      </c>
      <c r="C62" s="94" t="str">
        <f t="shared" ref="C62:N62" si="114">if(C$7=0, if($B62=1, C$6, IF(and($B62&gt;C$7,$B62&lt;=sum(C$8,C$7)),(C$5-C$6)/(C$8-1),"")),IF($B62=1,C$6,IF(and($B62&gt;C$7,$B62&lt;=sum(C$8,C$7)),(C$5-C$6)/C$8,"")))</f>
        <v/>
      </c>
      <c r="D62" s="94" t="str">
        <f t="shared" si="114"/>
        <v/>
      </c>
      <c r="E62" s="94" t="str">
        <f t="shared" si="114"/>
        <v/>
      </c>
      <c r="F62" s="94" t="str">
        <f t="shared" si="114"/>
        <v/>
      </c>
      <c r="G62" s="94" t="str">
        <f t="shared" si="114"/>
        <v/>
      </c>
      <c r="H62" s="94" t="str">
        <f t="shared" si="114"/>
        <v/>
      </c>
      <c r="I62" s="94" t="str">
        <f t="shared" si="114"/>
        <v/>
      </c>
      <c r="J62" s="94">
        <f t="shared" si="114"/>
        <v>2881355.932</v>
      </c>
      <c r="K62" s="94">
        <f t="shared" si="114"/>
        <v>2500000</v>
      </c>
      <c r="L62" s="94" t="str">
        <f t="shared" si="114"/>
        <v/>
      </c>
      <c r="M62" s="94" t="str">
        <f t="shared" si="114"/>
        <v/>
      </c>
      <c r="N62" s="94" t="str">
        <f t="shared" si="114"/>
        <v/>
      </c>
      <c r="O62" s="128">
        <f t="shared" si="5"/>
        <v>5381355.932</v>
      </c>
      <c r="P62" s="129">
        <f t="shared" si="6"/>
        <v>0</v>
      </c>
      <c r="Q62" s="129">
        <f t="shared" si="10"/>
        <v>967711864.4</v>
      </c>
      <c r="R62" s="130">
        <f t="shared" si="7"/>
        <v>0.9677118644</v>
      </c>
      <c r="S62" s="133">
        <f t="shared" si="11"/>
        <v>0.005381355932</v>
      </c>
      <c r="T62" s="133">
        <f t="shared" si="12"/>
        <v>0.005592003875</v>
      </c>
      <c r="U62" s="132">
        <f t="shared" ref="U62:AC62" si="115">$Q62*U$3</f>
        <v>31934491.53</v>
      </c>
      <c r="V62" s="132">
        <f t="shared" si="115"/>
        <v>48385593.22</v>
      </c>
      <c r="W62" s="132">
        <f t="shared" si="115"/>
        <v>145156779.7</v>
      </c>
      <c r="X62" s="132">
        <f t="shared" si="115"/>
        <v>241927966.1</v>
      </c>
      <c r="Y62" s="132">
        <f t="shared" si="115"/>
        <v>483855932.2</v>
      </c>
      <c r="Z62" s="132">
        <f t="shared" si="115"/>
        <v>967711864.4</v>
      </c>
      <c r="AA62" s="132">
        <f t="shared" si="115"/>
        <v>1596724576</v>
      </c>
      <c r="AB62" s="132">
        <f t="shared" si="115"/>
        <v>2419279661</v>
      </c>
      <c r="AC62" s="132">
        <f t="shared" si="115"/>
        <v>4838559322</v>
      </c>
      <c r="AD62" s="101"/>
      <c r="AE62" s="101"/>
    </row>
    <row r="63">
      <c r="A63" s="98"/>
      <c r="B63" s="127">
        <v>55.0</v>
      </c>
      <c r="C63" s="94" t="str">
        <f t="shared" ref="C63:N63" si="116">if(C$7=0, if($B63=1, C$6, IF(and($B63&gt;C$7,$B63&lt;=sum(C$8,C$7)),(C$5-C$6)/(C$8-1),"")),IF($B63=1,C$6,IF(and($B63&gt;C$7,$B63&lt;=sum(C$8,C$7)),(C$5-C$6)/C$8,"")))</f>
        <v/>
      </c>
      <c r="D63" s="94" t="str">
        <f t="shared" si="116"/>
        <v/>
      </c>
      <c r="E63" s="94" t="str">
        <f t="shared" si="116"/>
        <v/>
      </c>
      <c r="F63" s="94" t="str">
        <f t="shared" si="116"/>
        <v/>
      </c>
      <c r="G63" s="94" t="str">
        <f t="shared" si="116"/>
        <v/>
      </c>
      <c r="H63" s="94" t="str">
        <f t="shared" si="116"/>
        <v/>
      </c>
      <c r="I63" s="94" t="str">
        <f t="shared" si="116"/>
        <v/>
      </c>
      <c r="J63" s="94">
        <f t="shared" si="116"/>
        <v>2881355.932</v>
      </c>
      <c r="K63" s="94">
        <f t="shared" si="116"/>
        <v>2500000</v>
      </c>
      <c r="L63" s="94" t="str">
        <f t="shared" si="116"/>
        <v/>
      </c>
      <c r="M63" s="94" t="str">
        <f t="shared" si="116"/>
        <v/>
      </c>
      <c r="N63" s="94" t="str">
        <f t="shared" si="116"/>
        <v/>
      </c>
      <c r="O63" s="128">
        <f t="shared" si="5"/>
        <v>5381355.932</v>
      </c>
      <c r="P63" s="129">
        <f t="shared" si="6"/>
        <v>0</v>
      </c>
      <c r="Q63" s="129">
        <f t="shared" si="10"/>
        <v>973093220.3</v>
      </c>
      <c r="R63" s="130">
        <f t="shared" si="7"/>
        <v>0.9730932203</v>
      </c>
      <c r="S63" s="133">
        <f t="shared" si="11"/>
        <v>0.005381355932</v>
      </c>
      <c r="T63" s="133">
        <f t="shared" si="12"/>
        <v>0.00556090726</v>
      </c>
      <c r="U63" s="132">
        <f t="shared" ref="U63:AC63" si="117">$Q63*U$3</f>
        <v>32112076.27</v>
      </c>
      <c r="V63" s="132">
        <f t="shared" si="117"/>
        <v>48654661.02</v>
      </c>
      <c r="W63" s="132">
        <f t="shared" si="117"/>
        <v>145963983.1</v>
      </c>
      <c r="X63" s="132">
        <f t="shared" si="117"/>
        <v>243273305.1</v>
      </c>
      <c r="Y63" s="132">
        <f t="shared" si="117"/>
        <v>486546610.2</v>
      </c>
      <c r="Z63" s="132">
        <f t="shared" si="117"/>
        <v>973093220.3</v>
      </c>
      <c r="AA63" s="132">
        <f t="shared" si="117"/>
        <v>1605603814</v>
      </c>
      <c r="AB63" s="132">
        <f t="shared" si="117"/>
        <v>2432733051</v>
      </c>
      <c r="AC63" s="132">
        <f t="shared" si="117"/>
        <v>4865466102</v>
      </c>
      <c r="AD63" s="101"/>
      <c r="AE63" s="101"/>
    </row>
    <row r="64">
      <c r="A64" s="98"/>
      <c r="B64" s="127">
        <v>56.0</v>
      </c>
      <c r="C64" s="94" t="str">
        <f t="shared" ref="C64:N64" si="118">if(C$7=0, if($B64=1, C$6, IF(and($B64&gt;C$7,$B64&lt;=sum(C$8,C$7)),(C$5-C$6)/(C$8-1),"")),IF($B64=1,C$6,IF(and($B64&gt;C$7,$B64&lt;=sum(C$8,C$7)),(C$5-C$6)/C$8,"")))</f>
        <v/>
      </c>
      <c r="D64" s="94" t="str">
        <f t="shared" si="118"/>
        <v/>
      </c>
      <c r="E64" s="94" t="str">
        <f t="shared" si="118"/>
        <v/>
      </c>
      <c r="F64" s="94" t="str">
        <f t="shared" si="118"/>
        <v/>
      </c>
      <c r="G64" s="94" t="str">
        <f t="shared" si="118"/>
        <v/>
      </c>
      <c r="H64" s="94" t="str">
        <f t="shared" si="118"/>
        <v/>
      </c>
      <c r="I64" s="94" t="str">
        <f t="shared" si="118"/>
        <v/>
      </c>
      <c r="J64" s="94">
        <f t="shared" si="118"/>
        <v>2881355.932</v>
      </c>
      <c r="K64" s="94">
        <f t="shared" si="118"/>
        <v>2500000</v>
      </c>
      <c r="L64" s="94" t="str">
        <f t="shared" si="118"/>
        <v/>
      </c>
      <c r="M64" s="94" t="str">
        <f t="shared" si="118"/>
        <v/>
      </c>
      <c r="N64" s="94" t="str">
        <f t="shared" si="118"/>
        <v/>
      </c>
      <c r="O64" s="128">
        <f t="shared" si="5"/>
        <v>5381355.932</v>
      </c>
      <c r="P64" s="129">
        <f t="shared" si="6"/>
        <v>0</v>
      </c>
      <c r="Q64" s="129">
        <f t="shared" si="10"/>
        <v>978474576.3</v>
      </c>
      <c r="R64" s="130">
        <f t="shared" si="7"/>
        <v>0.9784745763</v>
      </c>
      <c r="S64" s="133">
        <f t="shared" si="11"/>
        <v>0.005381355932</v>
      </c>
      <c r="T64" s="133">
        <f t="shared" si="12"/>
        <v>0.005530154583</v>
      </c>
      <c r="U64" s="132">
        <f t="shared" ref="U64:AC64" si="119">$Q64*U$3</f>
        <v>32289661.02</v>
      </c>
      <c r="V64" s="132">
        <f t="shared" si="119"/>
        <v>48923728.81</v>
      </c>
      <c r="W64" s="132">
        <f t="shared" si="119"/>
        <v>146771186.4</v>
      </c>
      <c r="X64" s="132">
        <f t="shared" si="119"/>
        <v>244618644.1</v>
      </c>
      <c r="Y64" s="132">
        <f t="shared" si="119"/>
        <v>489237288.1</v>
      </c>
      <c r="Z64" s="132">
        <f t="shared" si="119"/>
        <v>978474576.3</v>
      </c>
      <c r="AA64" s="132">
        <f t="shared" si="119"/>
        <v>1614483051</v>
      </c>
      <c r="AB64" s="132">
        <f t="shared" si="119"/>
        <v>2446186441</v>
      </c>
      <c r="AC64" s="132">
        <f t="shared" si="119"/>
        <v>4892372881</v>
      </c>
      <c r="AD64" s="101"/>
      <c r="AE64" s="101"/>
    </row>
    <row r="65">
      <c r="A65" s="98"/>
      <c r="B65" s="127">
        <v>57.0</v>
      </c>
      <c r="C65" s="94" t="str">
        <f t="shared" ref="C65:N65" si="120">if(C$7=0, if($B65=1, C$6, IF(and($B65&gt;C$7,$B65&lt;=sum(C$8,C$7)),(C$5-C$6)/(C$8-1),"")),IF($B65=1,C$6,IF(and($B65&gt;C$7,$B65&lt;=sum(C$8,C$7)),(C$5-C$6)/C$8,"")))</f>
        <v/>
      </c>
      <c r="D65" s="94" t="str">
        <f t="shared" si="120"/>
        <v/>
      </c>
      <c r="E65" s="94" t="str">
        <f t="shared" si="120"/>
        <v/>
      </c>
      <c r="F65" s="94" t="str">
        <f t="shared" si="120"/>
        <v/>
      </c>
      <c r="G65" s="94" t="str">
        <f t="shared" si="120"/>
        <v/>
      </c>
      <c r="H65" s="94" t="str">
        <f t="shared" si="120"/>
        <v/>
      </c>
      <c r="I65" s="94" t="str">
        <f t="shared" si="120"/>
        <v/>
      </c>
      <c r="J65" s="94">
        <f t="shared" si="120"/>
        <v>2881355.932</v>
      </c>
      <c r="K65" s="94">
        <f t="shared" si="120"/>
        <v>2500000</v>
      </c>
      <c r="L65" s="94" t="str">
        <f t="shared" si="120"/>
        <v/>
      </c>
      <c r="M65" s="94" t="str">
        <f t="shared" si="120"/>
        <v/>
      </c>
      <c r="N65" s="94" t="str">
        <f t="shared" si="120"/>
        <v/>
      </c>
      <c r="O65" s="128">
        <f t="shared" si="5"/>
        <v>5381355.932</v>
      </c>
      <c r="P65" s="129">
        <f t="shared" si="6"/>
        <v>0</v>
      </c>
      <c r="Q65" s="129">
        <f t="shared" si="10"/>
        <v>983855932.2</v>
      </c>
      <c r="R65" s="130">
        <f t="shared" si="7"/>
        <v>0.9838559322</v>
      </c>
      <c r="S65" s="133">
        <f t="shared" si="11"/>
        <v>0.005381355932</v>
      </c>
      <c r="T65" s="133">
        <f t="shared" si="12"/>
        <v>0.00549974017</v>
      </c>
      <c r="U65" s="132">
        <f t="shared" ref="U65:AC65" si="121">$Q65*U$3</f>
        <v>32467245.76</v>
      </c>
      <c r="V65" s="132">
        <f t="shared" si="121"/>
        <v>49192796.61</v>
      </c>
      <c r="W65" s="132">
        <f t="shared" si="121"/>
        <v>147578389.8</v>
      </c>
      <c r="X65" s="132">
        <f t="shared" si="121"/>
        <v>245963983.1</v>
      </c>
      <c r="Y65" s="132">
        <f t="shared" si="121"/>
        <v>491927966.1</v>
      </c>
      <c r="Z65" s="132">
        <f t="shared" si="121"/>
        <v>983855932.2</v>
      </c>
      <c r="AA65" s="132">
        <f t="shared" si="121"/>
        <v>1623362288</v>
      </c>
      <c r="AB65" s="132">
        <f t="shared" si="121"/>
        <v>2459639831</v>
      </c>
      <c r="AC65" s="132">
        <f t="shared" si="121"/>
        <v>4919279661</v>
      </c>
      <c r="AD65" s="101"/>
      <c r="AE65" s="101"/>
    </row>
    <row r="66">
      <c r="A66" s="98"/>
      <c r="B66" s="127">
        <v>58.0</v>
      </c>
      <c r="C66" s="94" t="str">
        <f t="shared" ref="C66:N66" si="122">if(C$7=0, if($B66=1, C$6, IF(and($B66&gt;C$7,$B66&lt;=sum(C$8,C$7)),(C$5-C$6)/(C$8-1),"")),IF($B66=1,C$6,IF(and($B66&gt;C$7,$B66&lt;=sum(C$8,C$7)),(C$5-C$6)/C$8,"")))</f>
        <v/>
      </c>
      <c r="D66" s="94" t="str">
        <f t="shared" si="122"/>
        <v/>
      </c>
      <c r="E66" s="94" t="str">
        <f t="shared" si="122"/>
        <v/>
      </c>
      <c r="F66" s="94" t="str">
        <f t="shared" si="122"/>
        <v/>
      </c>
      <c r="G66" s="94" t="str">
        <f t="shared" si="122"/>
        <v/>
      </c>
      <c r="H66" s="94" t="str">
        <f t="shared" si="122"/>
        <v/>
      </c>
      <c r="I66" s="94" t="str">
        <f t="shared" si="122"/>
        <v/>
      </c>
      <c r="J66" s="94">
        <f t="shared" si="122"/>
        <v>2881355.932</v>
      </c>
      <c r="K66" s="94">
        <f t="shared" si="122"/>
        <v>2500000</v>
      </c>
      <c r="L66" s="94" t="str">
        <f t="shared" si="122"/>
        <v/>
      </c>
      <c r="M66" s="94" t="str">
        <f t="shared" si="122"/>
        <v/>
      </c>
      <c r="N66" s="94" t="str">
        <f t="shared" si="122"/>
        <v/>
      </c>
      <c r="O66" s="128">
        <f t="shared" si="5"/>
        <v>5381355.932</v>
      </c>
      <c r="P66" s="129">
        <f t="shared" si="6"/>
        <v>0</v>
      </c>
      <c r="Q66" s="129">
        <f t="shared" si="10"/>
        <v>989237288.1</v>
      </c>
      <c r="R66" s="130">
        <f t="shared" si="7"/>
        <v>0.9892372881</v>
      </c>
      <c r="S66" s="133">
        <f t="shared" si="11"/>
        <v>0.005381355932</v>
      </c>
      <c r="T66" s="133">
        <f t="shared" si="12"/>
        <v>0.005469658469</v>
      </c>
      <c r="U66" s="132">
        <f t="shared" ref="U66:AC66" si="123">$Q66*U$3</f>
        <v>32644830.51</v>
      </c>
      <c r="V66" s="132">
        <f t="shared" si="123"/>
        <v>49461864.41</v>
      </c>
      <c r="W66" s="132">
        <f t="shared" si="123"/>
        <v>148385593.2</v>
      </c>
      <c r="X66" s="132">
        <f t="shared" si="123"/>
        <v>247309322</v>
      </c>
      <c r="Y66" s="132">
        <f t="shared" si="123"/>
        <v>494618644.1</v>
      </c>
      <c r="Z66" s="132">
        <f t="shared" si="123"/>
        <v>989237288.1</v>
      </c>
      <c r="AA66" s="132">
        <f t="shared" si="123"/>
        <v>1632241525</v>
      </c>
      <c r="AB66" s="132">
        <f t="shared" si="123"/>
        <v>2473093220</v>
      </c>
      <c r="AC66" s="132">
        <f t="shared" si="123"/>
        <v>4946186441</v>
      </c>
      <c r="AD66" s="101"/>
      <c r="AE66" s="101"/>
    </row>
    <row r="67">
      <c r="A67" s="98"/>
      <c r="B67" s="127">
        <v>59.0</v>
      </c>
      <c r="C67" s="94" t="str">
        <f t="shared" ref="C67:N67" si="124">if(C$7=0, if($B67=1, C$6, IF(and($B67&gt;C$7,$B67&lt;=sum(C$8,C$7)),(C$5-C$6)/(C$8-1),"")),IF($B67=1,C$6,IF(and($B67&gt;C$7,$B67&lt;=sum(C$8,C$7)),(C$5-C$6)/C$8,"")))</f>
        <v/>
      </c>
      <c r="D67" s="94" t="str">
        <f t="shared" si="124"/>
        <v/>
      </c>
      <c r="E67" s="94" t="str">
        <f t="shared" si="124"/>
        <v/>
      </c>
      <c r="F67" s="94" t="str">
        <f t="shared" si="124"/>
        <v/>
      </c>
      <c r="G67" s="94" t="str">
        <f t="shared" si="124"/>
        <v/>
      </c>
      <c r="H67" s="94" t="str">
        <f t="shared" si="124"/>
        <v/>
      </c>
      <c r="I67" s="94" t="str">
        <f t="shared" si="124"/>
        <v/>
      </c>
      <c r="J67" s="94">
        <f t="shared" si="124"/>
        <v>2881355.932</v>
      </c>
      <c r="K67" s="94">
        <f t="shared" si="124"/>
        <v>2500000</v>
      </c>
      <c r="L67" s="94" t="str">
        <f t="shared" si="124"/>
        <v/>
      </c>
      <c r="M67" s="94" t="str">
        <f t="shared" si="124"/>
        <v/>
      </c>
      <c r="N67" s="94" t="str">
        <f t="shared" si="124"/>
        <v/>
      </c>
      <c r="O67" s="128">
        <f t="shared" si="5"/>
        <v>5381355.932</v>
      </c>
      <c r="P67" s="129">
        <f t="shared" si="6"/>
        <v>0</v>
      </c>
      <c r="Q67" s="129">
        <f t="shared" si="10"/>
        <v>994618644.1</v>
      </c>
      <c r="R67" s="130">
        <f t="shared" si="7"/>
        <v>0.9946186441</v>
      </c>
      <c r="S67" s="133">
        <f t="shared" si="11"/>
        <v>0.005381355932</v>
      </c>
      <c r="T67" s="133">
        <f t="shared" si="12"/>
        <v>0.005439904052</v>
      </c>
      <c r="U67" s="132">
        <f t="shared" ref="U67:AC67" si="125">$Q67*U$3</f>
        <v>32822415.25</v>
      </c>
      <c r="V67" s="132">
        <f t="shared" si="125"/>
        <v>49730932.2</v>
      </c>
      <c r="W67" s="132">
        <f t="shared" si="125"/>
        <v>149192796.6</v>
      </c>
      <c r="X67" s="132">
        <f t="shared" si="125"/>
        <v>248654661</v>
      </c>
      <c r="Y67" s="132">
        <f t="shared" si="125"/>
        <v>497309322</v>
      </c>
      <c r="Z67" s="132">
        <f t="shared" si="125"/>
        <v>994618644.1</v>
      </c>
      <c r="AA67" s="132">
        <f t="shared" si="125"/>
        <v>1641120763</v>
      </c>
      <c r="AB67" s="132">
        <f t="shared" si="125"/>
        <v>2486546610</v>
      </c>
      <c r="AC67" s="132">
        <f t="shared" si="125"/>
        <v>4973093220</v>
      </c>
      <c r="AD67" s="101"/>
      <c r="AE67" s="101"/>
    </row>
    <row r="68">
      <c r="A68" s="98"/>
      <c r="B68" s="127">
        <v>60.0</v>
      </c>
      <c r="C68" s="94" t="str">
        <f t="shared" ref="C68:N68" si="126">if(C$7=0, if($B68=1, C$6, IF(and($B68&gt;C$7,$B68&lt;=sum(C$8,C$7)),(C$5-C$6)/(C$8-1),"")),IF($B68=1,C$6,IF(and($B68&gt;C$7,$B68&lt;=sum(C$8,C$7)),(C$5-C$6)/C$8,"")))</f>
        <v/>
      </c>
      <c r="D68" s="94" t="str">
        <f t="shared" si="126"/>
        <v/>
      </c>
      <c r="E68" s="94" t="str">
        <f t="shared" si="126"/>
        <v/>
      </c>
      <c r="F68" s="94" t="str">
        <f t="shared" si="126"/>
        <v/>
      </c>
      <c r="G68" s="94" t="str">
        <f t="shared" si="126"/>
        <v/>
      </c>
      <c r="H68" s="94" t="str">
        <f t="shared" si="126"/>
        <v/>
      </c>
      <c r="I68" s="94" t="str">
        <f t="shared" si="126"/>
        <v/>
      </c>
      <c r="J68" s="94">
        <f t="shared" si="126"/>
        <v>2881355.932</v>
      </c>
      <c r="K68" s="94">
        <f t="shared" si="126"/>
        <v>2500000</v>
      </c>
      <c r="L68" s="94" t="str">
        <f t="shared" si="126"/>
        <v/>
      </c>
      <c r="M68" s="94" t="str">
        <f t="shared" si="126"/>
        <v/>
      </c>
      <c r="N68" s="94" t="str">
        <f t="shared" si="126"/>
        <v/>
      </c>
      <c r="O68" s="128">
        <f t="shared" si="5"/>
        <v>5381355.932</v>
      </c>
      <c r="P68" s="129">
        <f t="shared" si="6"/>
        <v>0</v>
      </c>
      <c r="Q68" s="129">
        <f t="shared" si="10"/>
        <v>1000000000</v>
      </c>
      <c r="R68" s="130">
        <f t="shared" si="7"/>
        <v>1</v>
      </c>
      <c r="S68" s="133">
        <f t="shared" si="11"/>
        <v>0.005381355932</v>
      </c>
      <c r="T68" s="133">
        <f t="shared" si="12"/>
        <v>0.005410471606</v>
      </c>
      <c r="U68" s="132">
        <f t="shared" ref="U68:AC68" si="127">$Q68*U$3</f>
        <v>33000000</v>
      </c>
      <c r="V68" s="132">
        <f t="shared" si="127"/>
        <v>50000000</v>
      </c>
      <c r="W68" s="132">
        <f t="shared" si="127"/>
        <v>150000000</v>
      </c>
      <c r="X68" s="132">
        <f t="shared" si="127"/>
        <v>250000000</v>
      </c>
      <c r="Y68" s="132">
        <f t="shared" si="127"/>
        <v>500000000</v>
      </c>
      <c r="Z68" s="132">
        <f t="shared" si="127"/>
        <v>1000000000</v>
      </c>
      <c r="AA68" s="132">
        <f t="shared" si="127"/>
        <v>1650000000</v>
      </c>
      <c r="AB68" s="132">
        <f t="shared" si="127"/>
        <v>2500000000</v>
      </c>
      <c r="AC68" s="132">
        <f t="shared" si="127"/>
        <v>5000000000</v>
      </c>
      <c r="AD68" s="101"/>
      <c r="AE68" s="101"/>
    </row>
    <row r="69">
      <c r="A69" s="98"/>
      <c r="B69" s="101"/>
      <c r="C69" s="135">
        <f t="shared" ref="C69:N69" si="128">SUM(C9:C68)</f>
        <v>100000000</v>
      </c>
      <c r="D69" s="135">
        <f t="shared" si="128"/>
        <v>20000000</v>
      </c>
      <c r="E69" s="135">
        <f t="shared" si="128"/>
        <v>0</v>
      </c>
      <c r="F69" s="135">
        <f t="shared" si="128"/>
        <v>170000000</v>
      </c>
      <c r="G69" s="135">
        <f t="shared" si="128"/>
        <v>40000000</v>
      </c>
      <c r="H69" s="135">
        <f t="shared" si="128"/>
        <v>80000000</v>
      </c>
      <c r="I69" s="135">
        <f t="shared" si="128"/>
        <v>120000000</v>
      </c>
      <c r="J69" s="135">
        <f t="shared" si="128"/>
        <v>200000000</v>
      </c>
      <c r="K69" s="135">
        <f t="shared" si="128"/>
        <v>150000000</v>
      </c>
      <c r="L69" s="135">
        <f t="shared" si="128"/>
        <v>20000000</v>
      </c>
      <c r="M69" s="135">
        <f t="shared" si="128"/>
        <v>60000000</v>
      </c>
      <c r="N69" s="135">
        <f t="shared" si="128"/>
        <v>40000000</v>
      </c>
      <c r="O69" s="136">
        <f t="shared" si="5"/>
        <v>1000000000</v>
      </c>
      <c r="P69" s="135">
        <f>SUM(E69:H69)</f>
        <v>290000000</v>
      </c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</row>
    <row r="70">
      <c r="A70" s="98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11"/>
      <c r="Q70" s="11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</row>
  </sheetData>
  <mergeCells count="2">
    <mergeCell ref="C2:O2"/>
    <mergeCell ref="U2:A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23.38"/>
  </cols>
  <sheetData>
    <row r="1">
      <c r="A1" s="137"/>
      <c r="B1" s="138"/>
      <c r="C1" s="138"/>
      <c r="D1" s="138"/>
      <c r="E1" s="138"/>
      <c r="F1" s="138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137"/>
      <c r="B2" s="138"/>
      <c r="C2" s="138"/>
      <c r="D2" s="138"/>
      <c r="E2" s="138"/>
      <c r="F2" s="138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37"/>
      <c r="B3" s="138"/>
      <c r="C3" s="138"/>
      <c r="D3" s="138"/>
      <c r="E3" s="138"/>
      <c r="F3" s="138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37"/>
      <c r="B4" s="138"/>
      <c r="C4" s="138"/>
      <c r="D4" s="138"/>
      <c r="E4" s="138"/>
      <c r="F4" s="138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37"/>
      <c r="B5" s="138"/>
      <c r="C5" s="138"/>
      <c r="D5" s="138"/>
      <c r="E5" s="138"/>
      <c r="F5" s="138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ht="60.0" customHeight="1">
      <c r="A6" s="137"/>
      <c r="B6" s="139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37"/>
      <c r="B7" s="138"/>
      <c r="C7" s="138"/>
      <c r="D7" s="138"/>
      <c r="E7" s="138"/>
      <c r="F7" s="138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37"/>
      <c r="B8" s="138"/>
      <c r="C8" s="138"/>
      <c r="D8" s="138"/>
      <c r="E8" s="138"/>
      <c r="F8" s="138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40"/>
      <c r="B9" s="141" t="s">
        <v>85</v>
      </c>
      <c r="C9" s="138"/>
      <c r="D9" s="141" t="s">
        <v>2</v>
      </c>
      <c r="E9" s="138"/>
      <c r="F9" s="141" t="s">
        <v>86</v>
      </c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>
      <c r="A10" s="140"/>
      <c r="B10" s="142">
        <v>50000.0</v>
      </c>
      <c r="C10" s="143"/>
      <c r="D10" s="142">
        <v>1.0E7</v>
      </c>
      <c r="E10" s="138"/>
      <c r="F10" s="144">
        <v>0.2</v>
      </c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>
      <c r="A11" s="140"/>
      <c r="B11" s="138"/>
      <c r="C11" s="138"/>
      <c r="D11" s="138"/>
      <c r="E11" s="138"/>
      <c r="F11" s="138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>
      <c r="A12" s="140"/>
      <c r="B12" s="141" t="s">
        <v>87</v>
      </c>
      <c r="C12" s="141" t="s">
        <v>88</v>
      </c>
      <c r="D12" s="141" t="s">
        <v>89</v>
      </c>
      <c r="E12" s="141" t="s">
        <v>90</v>
      </c>
      <c r="F12" s="141" t="s">
        <v>91</v>
      </c>
      <c r="G12" s="141" t="s">
        <v>92</v>
      </c>
      <c r="H12" s="141" t="s">
        <v>93</v>
      </c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>
      <c r="A13" s="140"/>
      <c r="B13" s="145">
        <v>1.0</v>
      </c>
      <c r="C13" s="146">
        <f>ROUND(NodeSale!$C$7*(1+NodeSale!$C$12)^(B13-1),2)</f>
        <v>0.15</v>
      </c>
      <c r="D13" s="147">
        <f>ROUND(C13*NodeSale!$C$10,0)</f>
        <v>525</v>
      </c>
      <c r="E13" s="148">
        <f>ROUNDUP(NodeSale!$C$9*(1-NodeSale!$C$13)^(B13-1),0)</f>
        <v>4000</v>
      </c>
      <c r="F13" s="148">
        <f>E13</f>
        <v>4000</v>
      </c>
      <c r="G13" s="147">
        <f>ROUNDUP(D13*F13*(NodeSale!$C$4/NodeSale!$C$3)/NodeSale!$C$9,0)</f>
        <v>10500000</v>
      </c>
      <c r="H13" s="147">
        <f t="shared" ref="H13:H62" si="1">D13*E13</f>
        <v>2100000</v>
      </c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>
      <c r="A14" s="140"/>
      <c r="B14" s="145">
        <f t="shared" ref="B14:B62" si="2">B13+1</f>
        <v>2</v>
      </c>
      <c r="C14" s="146">
        <f>ROUND(NodeSale!$C$7*(1+NodeSale!$C$12)^(B14-1),2)</f>
        <v>0.16</v>
      </c>
      <c r="D14" s="147">
        <f>ROUND(C14*NodeSale!$C$10,0)</f>
        <v>560</v>
      </c>
      <c r="E14" s="148">
        <f>ROUNDUP(NodeSale!$C$9*(1-NodeSale!$C$13)^(B14-1),0)</f>
        <v>3686</v>
      </c>
      <c r="F14" s="148">
        <f t="shared" ref="F14:F62" si="3">F13+E14</f>
        <v>7686</v>
      </c>
      <c r="G14" s="147">
        <f>ROUNDUP(D14*F14*(NodeSale!$C$4/NodeSale!$C$3)/NodeSale!$C$9,0)</f>
        <v>21520800</v>
      </c>
      <c r="H14" s="147">
        <f t="shared" si="1"/>
        <v>2064160</v>
      </c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>
      <c r="A15" s="137"/>
      <c r="B15" s="145">
        <f t="shared" si="2"/>
        <v>3</v>
      </c>
      <c r="C15" s="146">
        <f>ROUND(NodeSale!$C$7*(1+NodeSale!$C$12)^(B15-1),2)</f>
        <v>0.17</v>
      </c>
      <c r="D15" s="147">
        <f>ROUND(C15*NodeSale!$C$10,0)</f>
        <v>595</v>
      </c>
      <c r="E15" s="148">
        <f>ROUNDUP(NodeSale!$C$9*(1-NodeSale!$C$13)^(B15-1),0)</f>
        <v>3396</v>
      </c>
      <c r="F15" s="148">
        <f t="shared" si="3"/>
        <v>11082</v>
      </c>
      <c r="G15" s="147">
        <f>ROUNDUP(D15*F15*(NodeSale!$C$4/NodeSale!$C$3)/NodeSale!$C$9,0)</f>
        <v>32968950</v>
      </c>
      <c r="H15" s="147">
        <f t="shared" si="1"/>
        <v>2020620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137"/>
      <c r="B16" s="145">
        <f t="shared" si="2"/>
        <v>4</v>
      </c>
      <c r="C16" s="146">
        <f>ROUND(NodeSale!$C$7*(1+NodeSale!$C$12)^(B16-1),2)</f>
        <v>0.18</v>
      </c>
      <c r="D16" s="147">
        <f>ROUND(C16*NodeSale!$C$10,0)</f>
        <v>630</v>
      </c>
      <c r="E16" s="148">
        <f>ROUNDUP(NodeSale!$C$9*(1-NodeSale!$C$13)^(B16-1),0)</f>
        <v>3128</v>
      </c>
      <c r="F16" s="148">
        <f t="shared" si="3"/>
        <v>14210</v>
      </c>
      <c r="G16" s="147">
        <f>ROUNDUP(D16*F16*(NodeSale!$C$4/NodeSale!$C$3)/NodeSale!$C$9,0)</f>
        <v>44761500</v>
      </c>
      <c r="H16" s="147">
        <f t="shared" si="1"/>
        <v>1970640</v>
      </c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137"/>
      <c r="B17" s="145">
        <f t="shared" si="2"/>
        <v>5</v>
      </c>
      <c r="C17" s="146">
        <f>ROUND(NodeSale!$C$7*(1+NodeSale!$C$12)^(B17-1),2)</f>
        <v>0.2</v>
      </c>
      <c r="D17" s="147">
        <f>ROUND(C17*NodeSale!$C$10,0)</f>
        <v>700</v>
      </c>
      <c r="E17" s="148">
        <f>ROUNDUP(NodeSale!$C$9*(1-NodeSale!$C$13)^(B17-1),0)</f>
        <v>2882</v>
      </c>
      <c r="F17" s="148">
        <f t="shared" si="3"/>
        <v>17092</v>
      </c>
      <c r="G17" s="147">
        <f>ROUNDUP(D17*F17*(NodeSale!$C$4/NodeSale!$C$3)/NodeSale!$C$9,0)</f>
        <v>59822000</v>
      </c>
      <c r="H17" s="147">
        <f t="shared" si="1"/>
        <v>2017400</v>
      </c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137"/>
      <c r="B18" s="145">
        <f t="shared" si="2"/>
        <v>6</v>
      </c>
      <c r="C18" s="146">
        <f>ROUND(NodeSale!$C$7*(1+NodeSale!$C$12)^(B18-1),2)</f>
        <v>0.21</v>
      </c>
      <c r="D18" s="147">
        <f>ROUND(C18*NodeSale!$C$10,0)</f>
        <v>735</v>
      </c>
      <c r="E18" s="148">
        <f>ROUNDUP(NodeSale!$C$9*(1-NodeSale!$C$13)^(B18-1),0)</f>
        <v>2655</v>
      </c>
      <c r="F18" s="148">
        <f t="shared" si="3"/>
        <v>19747</v>
      </c>
      <c r="G18" s="147">
        <f>ROUNDUP(D18*F18*(NodeSale!$C$4/NodeSale!$C$3)/NodeSale!$C$9,0)</f>
        <v>72570225</v>
      </c>
      <c r="H18" s="147">
        <f t="shared" si="1"/>
        <v>1951425</v>
      </c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137"/>
      <c r="B19" s="145">
        <f t="shared" si="2"/>
        <v>7</v>
      </c>
      <c r="C19" s="146">
        <f>ROUND(NodeSale!$C$7*(1+NodeSale!$C$12)^(B19-1),2)</f>
        <v>0.22</v>
      </c>
      <c r="D19" s="147">
        <f>ROUND(C19*NodeSale!$C$10,0)</f>
        <v>770</v>
      </c>
      <c r="E19" s="148">
        <f>ROUNDUP(NodeSale!$C$9*(1-NodeSale!$C$13)^(B19-1),0)</f>
        <v>2446</v>
      </c>
      <c r="F19" s="148">
        <f t="shared" si="3"/>
        <v>22193</v>
      </c>
      <c r="G19" s="147">
        <f>ROUNDUP(D19*F19*(NodeSale!$C$4/NodeSale!$C$3)/NodeSale!$C$9,0)</f>
        <v>85443050</v>
      </c>
      <c r="H19" s="147">
        <f t="shared" si="1"/>
        <v>1883420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37"/>
      <c r="B20" s="145">
        <f t="shared" si="2"/>
        <v>8</v>
      </c>
      <c r="C20" s="146">
        <f>ROUND(NodeSale!$C$7*(1+NodeSale!$C$12)^(B20-1),2)</f>
        <v>0.24</v>
      </c>
      <c r="D20" s="147">
        <f>ROUND(C20*NodeSale!$C$10,0)</f>
        <v>840</v>
      </c>
      <c r="E20" s="148">
        <f>ROUNDUP(NodeSale!$C$9*(1-NodeSale!$C$13)^(B20-1),0)</f>
        <v>2254</v>
      </c>
      <c r="F20" s="148">
        <f t="shared" si="3"/>
        <v>24447</v>
      </c>
      <c r="G20" s="147">
        <f>ROUNDUP(D20*F20*(NodeSale!$C$4/NodeSale!$C$3)/NodeSale!$C$9,0)</f>
        <v>102677400</v>
      </c>
      <c r="H20" s="147">
        <f t="shared" si="1"/>
        <v>1893360</v>
      </c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37"/>
      <c r="B21" s="145">
        <f t="shared" si="2"/>
        <v>9</v>
      </c>
      <c r="C21" s="146">
        <f>ROUND(NodeSale!$C$7*(1+NodeSale!$C$12)^(B21-1),2)</f>
        <v>0.26</v>
      </c>
      <c r="D21" s="147">
        <f>ROUND(C21*NodeSale!$C$10,0)</f>
        <v>910</v>
      </c>
      <c r="E21" s="148">
        <f>ROUNDUP(NodeSale!$C$9*(1-NodeSale!$C$13)^(B21-1),0)</f>
        <v>2076</v>
      </c>
      <c r="F21" s="148">
        <f t="shared" si="3"/>
        <v>26523</v>
      </c>
      <c r="G21" s="147">
        <f>ROUNDUP(D21*F21*(NodeSale!$C$4/NodeSale!$C$3)/NodeSale!$C$9,0)</f>
        <v>120679650</v>
      </c>
      <c r="H21" s="147">
        <f t="shared" si="1"/>
        <v>1889160</v>
      </c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37"/>
      <c r="B22" s="145">
        <f t="shared" si="2"/>
        <v>10</v>
      </c>
      <c r="C22" s="146">
        <f>ROUND(NodeSale!$C$7*(1+NodeSale!$C$12)^(B22-1),2)</f>
        <v>0.27</v>
      </c>
      <c r="D22" s="147">
        <f>ROUND(C22*NodeSale!$C$10,0)</f>
        <v>945</v>
      </c>
      <c r="E22" s="148">
        <f>ROUNDUP(NodeSale!$C$9*(1-NodeSale!$C$13)^(B22-1),0)</f>
        <v>1913</v>
      </c>
      <c r="F22" s="148">
        <f t="shared" si="3"/>
        <v>28436</v>
      </c>
      <c r="G22" s="147">
        <f>ROUNDUP(D22*F22*(NodeSale!$C$4/NodeSale!$C$3)/NodeSale!$C$9,0)</f>
        <v>134360100</v>
      </c>
      <c r="H22" s="147">
        <f t="shared" si="1"/>
        <v>1807785</v>
      </c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37"/>
      <c r="B23" s="145">
        <f t="shared" si="2"/>
        <v>11</v>
      </c>
      <c r="C23" s="146">
        <f>ROUND(NodeSale!$C$7*(1+NodeSale!$C$12)^(B23-1),2)</f>
        <v>0.29</v>
      </c>
      <c r="D23" s="147">
        <f>ROUND(C23*NodeSale!$C$10,0)</f>
        <v>1015</v>
      </c>
      <c r="E23" s="148">
        <f>ROUNDUP(NodeSale!$C$9*(1-NodeSale!$C$13)^(B23-1),0)</f>
        <v>1763</v>
      </c>
      <c r="F23" s="148">
        <f t="shared" si="3"/>
        <v>30199</v>
      </c>
      <c r="G23" s="147">
        <f>ROUNDUP(D23*F23*(NodeSale!$C$4/NodeSale!$C$3)/NodeSale!$C$9,0)</f>
        <v>153259925</v>
      </c>
      <c r="H23" s="147">
        <f t="shared" si="1"/>
        <v>1789445</v>
      </c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37"/>
      <c r="B24" s="145">
        <f t="shared" si="2"/>
        <v>12</v>
      </c>
      <c r="C24" s="146">
        <f>ROUND(NodeSale!$C$7*(1+NodeSale!$C$12)^(B24-1),2)</f>
        <v>0.31</v>
      </c>
      <c r="D24" s="147">
        <f>ROUND(C24*NodeSale!$C$10,0)</f>
        <v>1085</v>
      </c>
      <c r="E24" s="148">
        <f>ROUNDUP(NodeSale!$C$9*(1-NodeSale!$C$13)^(B24-1),0)</f>
        <v>1624</v>
      </c>
      <c r="F24" s="148">
        <f t="shared" si="3"/>
        <v>31823</v>
      </c>
      <c r="G24" s="147">
        <f>ROUNDUP(D24*F24*(NodeSale!$C$4/NodeSale!$C$3)/NodeSale!$C$9,0)</f>
        <v>172639775</v>
      </c>
      <c r="H24" s="147">
        <f t="shared" si="1"/>
        <v>1762040</v>
      </c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37"/>
      <c r="B25" s="145">
        <f t="shared" si="2"/>
        <v>13</v>
      </c>
      <c r="C25" s="146">
        <f>ROUND(NodeSale!$C$7*(1+NodeSale!$C$12)^(B25-1),2)</f>
        <v>0.34</v>
      </c>
      <c r="D25" s="147">
        <f>ROUND(C25*NodeSale!$C$10,0)</f>
        <v>1190</v>
      </c>
      <c r="E25" s="148">
        <f>ROUNDUP(NodeSale!$C$9*(1-NodeSale!$C$13)^(B25-1),0)</f>
        <v>1496</v>
      </c>
      <c r="F25" s="148">
        <f t="shared" si="3"/>
        <v>33319</v>
      </c>
      <c r="G25" s="147">
        <f>ROUNDUP(D25*F25*(NodeSale!$C$4/NodeSale!$C$3)/NodeSale!$C$9,0)</f>
        <v>198248050</v>
      </c>
      <c r="H25" s="147">
        <f t="shared" si="1"/>
        <v>1780240</v>
      </c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37"/>
      <c r="B26" s="145">
        <f t="shared" si="2"/>
        <v>14</v>
      </c>
      <c r="C26" s="146">
        <f>ROUND(NodeSale!$C$7*(1+NodeSale!$C$12)^(B26-1),2)</f>
        <v>0.36</v>
      </c>
      <c r="D26" s="147">
        <f>ROUND(C26*NodeSale!$C$10,0)</f>
        <v>1260</v>
      </c>
      <c r="E26" s="148">
        <f>ROUNDUP(NodeSale!$C$9*(1-NodeSale!$C$13)^(B26-1),0)</f>
        <v>1378</v>
      </c>
      <c r="F26" s="148">
        <f t="shared" si="3"/>
        <v>34697</v>
      </c>
      <c r="G26" s="147">
        <f>ROUNDUP(D26*F26*(NodeSale!$C$4/NodeSale!$C$3)/NodeSale!$C$9,0)</f>
        <v>218591100</v>
      </c>
      <c r="H26" s="147">
        <f t="shared" si="1"/>
        <v>1736280</v>
      </c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37"/>
      <c r="B27" s="145">
        <f t="shared" si="2"/>
        <v>15</v>
      </c>
      <c r="C27" s="146">
        <f>ROUND(NodeSale!$C$7*(1+NodeSale!$C$12)^(B27-1),2)</f>
        <v>0.38</v>
      </c>
      <c r="D27" s="147">
        <f>ROUND(C27*NodeSale!$C$10,0)</f>
        <v>1330</v>
      </c>
      <c r="E27" s="148">
        <f>ROUNDUP(NodeSale!$C$9*(1-NodeSale!$C$13)^(B27-1),0)</f>
        <v>1270</v>
      </c>
      <c r="F27" s="148">
        <f t="shared" si="3"/>
        <v>35967</v>
      </c>
      <c r="G27" s="147">
        <f>ROUNDUP(D27*F27*(NodeSale!$C$4/NodeSale!$C$3)/NodeSale!$C$9,0)</f>
        <v>239180550</v>
      </c>
      <c r="H27" s="147">
        <f t="shared" si="1"/>
        <v>1689100</v>
      </c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37"/>
      <c r="B28" s="145">
        <f t="shared" si="2"/>
        <v>16</v>
      </c>
      <c r="C28" s="146">
        <f>ROUND(NodeSale!$C$7*(1+NodeSale!$C$12)^(B28-1),2)</f>
        <v>0.41</v>
      </c>
      <c r="D28" s="147">
        <f>ROUND(C28*NodeSale!$C$10,0)</f>
        <v>1435</v>
      </c>
      <c r="E28" s="148">
        <f>ROUNDUP(NodeSale!$C$9*(1-NodeSale!$C$13)^(B28-1),0)</f>
        <v>1170</v>
      </c>
      <c r="F28" s="148">
        <f t="shared" si="3"/>
        <v>37137</v>
      </c>
      <c r="G28" s="147">
        <f>ROUNDUP(D28*F28*(NodeSale!$C$4/NodeSale!$C$3)/NodeSale!$C$9,0)</f>
        <v>266457975</v>
      </c>
      <c r="H28" s="147">
        <f t="shared" si="1"/>
        <v>1678950</v>
      </c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37"/>
      <c r="B29" s="145">
        <f t="shared" si="2"/>
        <v>17</v>
      </c>
      <c r="C29" s="146">
        <f>ROUND(NodeSale!$C$7*(1+NodeSale!$C$12)^(B29-1),2)</f>
        <v>0.44</v>
      </c>
      <c r="D29" s="147">
        <f>ROUND(C29*NodeSale!$C$10,0)</f>
        <v>1540</v>
      </c>
      <c r="E29" s="148">
        <f>ROUNDUP(NodeSale!$C$9*(1-NodeSale!$C$13)^(B29-1),0)</f>
        <v>1078</v>
      </c>
      <c r="F29" s="148">
        <f t="shared" si="3"/>
        <v>38215</v>
      </c>
      <c r="G29" s="147">
        <f>ROUNDUP(D29*F29*(NodeSale!$C$4/NodeSale!$C$3)/NodeSale!$C$9,0)</f>
        <v>294255500</v>
      </c>
      <c r="H29" s="147">
        <f t="shared" si="1"/>
        <v>1660120</v>
      </c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37"/>
      <c r="B30" s="145">
        <f t="shared" si="2"/>
        <v>18</v>
      </c>
      <c r="C30" s="146">
        <f>ROUND(NodeSale!$C$7*(1+NodeSale!$C$12)^(B30-1),2)</f>
        <v>0.47</v>
      </c>
      <c r="D30" s="147">
        <f>ROUND(C30*NodeSale!$C$10,0)</f>
        <v>1645</v>
      </c>
      <c r="E30" s="148">
        <f>ROUNDUP(NodeSale!$C$9*(1-NodeSale!$C$13)^(B30-1),0)</f>
        <v>993</v>
      </c>
      <c r="F30" s="148">
        <f t="shared" si="3"/>
        <v>39208</v>
      </c>
      <c r="G30" s="147">
        <f>ROUNDUP(D30*F30*(NodeSale!$C$4/NodeSale!$C$3)/NodeSale!$C$9,0)</f>
        <v>322485800</v>
      </c>
      <c r="H30" s="147">
        <f t="shared" si="1"/>
        <v>1633485</v>
      </c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37"/>
      <c r="B31" s="145">
        <f t="shared" si="2"/>
        <v>19</v>
      </c>
      <c r="C31" s="146">
        <f>ROUND(NodeSale!$C$7*(1+NodeSale!$C$12)^(B31-1),2)</f>
        <v>0.5</v>
      </c>
      <c r="D31" s="147">
        <f>ROUND(C31*NodeSale!$C$10,0)</f>
        <v>1750</v>
      </c>
      <c r="E31" s="148">
        <f>ROUNDUP(NodeSale!$C$9*(1-NodeSale!$C$13)^(B31-1),0)</f>
        <v>915</v>
      </c>
      <c r="F31" s="148">
        <f t="shared" si="3"/>
        <v>40123</v>
      </c>
      <c r="G31" s="147">
        <f>ROUNDUP(D31*F31*(NodeSale!$C$4/NodeSale!$C$3)/NodeSale!$C$9,0)</f>
        <v>351076250</v>
      </c>
      <c r="H31" s="147">
        <f t="shared" si="1"/>
        <v>1601250</v>
      </c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37"/>
      <c r="B32" s="145">
        <f t="shared" si="2"/>
        <v>20</v>
      </c>
      <c r="C32" s="146">
        <f>ROUND(NodeSale!$C$7*(1+NodeSale!$C$12)^(B32-1),2)</f>
        <v>0.54</v>
      </c>
      <c r="D32" s="147">
        <f>ROUND(C32*NodeSale!$C$10,0)</f>
        <v>1890</v>
      </c>
      <c r="E32" s="148">
        <f>ROUNDUP(NodeSale!$C$9*(1-NodeSale!$C$13)^(B32-1),0)</f>
        <v>843</v>
      </c>
      <c r="F32" s="148">
        <f t="shared" si="3"/>
        <v>40966</v>
      </c>
      <c r="G32" s="147">
        <f>ROUNDUP(D32*F32*(NodeSale!$C$4/NodeSale!$C$3)/NodeSale!$C$9,0)</f>
        <v>387128700</v>
      </c>
      <c r="H32" s="147">
        <f t="shared" si="1"/>
        <v>1593270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37"/>
      <c r="B33" s="145">
        <f t="shared" si="2"/>
        <v>21</v>
      </c>
      <c r="C33" s="146">
        <f>ROUND(NodeSale!$C$7*(1+NodeSale!$C$12)^(B33-1),2)</f>
        <v>0.57</v>
      </c>
      <c r="D33" s="147">
        <f>ROUND(C33*NodeSale!$C$10,0)</f>
        <v>1995</v>
      </c>
      <c r="E33" s="148">
        <f>ROUNDUP(NodeSale!$C$9*(1-NodeSale!$C$13)^(B33-1),0)</f>
        <v>777</v>
      </c>
      <c r="F33" s="148">
        <f t="shared" si="3"/>
        <v>41743</v>
      </c>
      <c r="G33" s="147">
        <f>ROUNDUP(D33*F33*(NodeSale!$C$4/NodeSale!$C$3)/NodeSale!$C$9,0)</f>
        <v>416386425</v>
      </c>
      <c r="H33" s="147">
        <f t="shared" si="1"/>
        <v>1550115</v>
      </c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37"/>
      <c r="B34" s="145">
        <f t="shared" si="2"/>
        <v>22</v>
      </c>
      <c r="C34" s="146">
        <f>ROUND(NodeSale!$C$7*(1+NodeSale!$C$12)^(B34-1),2)</f>
        <v>0.61</v>
      </c>
      <c r="D34" s="147">
        <f>ROUND(C34*NodeSale!$C$10,0)</f>
        <v>2135</v>
      </c>
      <c r="E34" s="148">
        <f>ROUNDUP(NodeSale!$C$9*(1-NodeSale!$C$13)^(B34-1),0)</f>
        <v>716</v>
      </c>
      <c r="F34" s="148">
        <f t="shared" si="3"/>
        <v>42459</v>
      </c>
      <c r="G34" s="147">
        <f>ROUNDUP(D34*F34*(NodeSale!$C$4/NodeSale!$C$3)/NodeSale!$C$9,0)</f>
        <v>453249825</v>
      </c>
      <c r="H34" s="147">
        <f t="shared" si="1"/>
        <v>1528660</v>
      </c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37"/>
      <c r="B35" s="145">
        <f t="shared" si="2"/>
        <v>23</v>
      </c>
      <c r="C35" s="146">
        <f>ROUND(NodeSale!$C$7*(1+NodeSale!$C$12)^(B35-1),2)</f>
        <v>0.66</v>
      </c>
      <c r="D35" s="147">
        <f>ROUND(C35*NodeSale!$C$10,0)</f>
        <v>2310</v>
      </c>
      <c r="E35" s="148">
        <f>ROUNDUP(NodeSale!$C$9*(1-NodeSale!$C$13)^(B35-1),0)</f>
        <v>659</v>
      </c>
      <c r="F35" s="148">
        <f t="shared" si="3"/>
        <v>43118</v>
      </c>
      <c r="G35" s="147">
        <f>ROUNDUP(D35*F35*(NodeSale!$C$4/NodeSale!$C$3)/NodeSale!$C$9,0)</f>
        <v>498012900</v>
      </c>
      <c r="H35" s="147">
        <f t="shared" si="1"/>
        <v>1522290</v>
      </c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37"/>
      <c r="B36" s="145">
        <f t="shared" si="2"/>
        <v>24</v>
      </c>
      <c r="C36" s="146">
        <f>ROUND(NodeSale!$C$7*(1+NodeSale!$C$12)^(B36-1),2)</f>
        <v>0.7</v>
      </c>
      <c r="D36" s="147">
        <f>ROUND(C36*NodeSale!$C$10,0)</f>
        <v>2450</v>
      </c>
      <c r="E36" s="148">
        <f>ROUNDUP(NodeSale!$C$9*(1-NodeSale!$C$13)^(B36-1),0)</f>
        <v>607</v>
      </c>
      <c r="F36" s="148">
        <f t="shared" si="3"/>
        <v>43725</v>
      </c>
      <c r="G36" s="147">
        <f>ROUNDUP(D36*F36*(NodeSale!$C$4/NodeSale!$C$3)/NodeSale!$C$9,0)</f>
        <v>535631250</v>
      </c>
      <c r="H36" s="147">
        <f t="shared" si="1"/>
        <v>1487150</v>
      </c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37"/>
      <c r="B37" s="145">
        <f t="shared" si="2"/>
        <v>25</v>
      </c>
      <c r="C37" s="146">
        <f>ROUND(NodeSale!$C$7*(1+NodeSale!$C$12)^(B37-1),2)</f>
        <v>0.75</v>
      </c>
      <c r="D37" s="147">
        <f>ROUND(C37*NodeSale!$C$10,0)</f>
        <v>2625</v>
      </c>
      <c r="E37" s="148">
        <f>ROUNDUP(NodeSale!$C$9*(1-NodeSale!$C$13)^(B37-1),0)</f>
        <v>560</v>
      </c>
      <c r="F37" s="148">
        <f t="shared" si="3"/>
        <v>44285</v>
      </c>
      <c r="G37" s="147">
        <f>ROUNDUP(D37*F37*(NodeSale!$C$4/NodeSale!$C$3)/NodeSale!$C$9,0)</f>
        <v>581240625</v>
      </c>
      <c r="H37" s="147">
        <f t="shared" si="1"/>
        <v>1470000</v>
      </c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137"/>
      <c r="B38" s="145">
        <f t="shared" si="2"/>
        <v>26</v>
      </c>
      <c r="C38" s="146">
        <f>ROUND(NodeSale!$C$7*(1+NodeSale!$C$12)^(B38-1),2)</f>
        <v>0.8</v>
      </c>
      <c r="D38" s="147">
        <f>ROUND(C38*NodeSale!$C$10,0)</f>
        <v>2800</v>
      </c>
      <c r="E38" s="148">
        <f>ROUNDUP(NodeSale!$C$9*(1-NodeSale!$C$13)^(B38-1),0)</f>
        <v>516</v>
      </c>
      <c r="F38" s="148">
        <f t="shared" si="3"/>
        <v>44801</v>
      </c>
      <c r="G38" s="147">
        <f>ROUNDUP(D38*F38*(NodeSale!$C$4/NodeSale!$C$3)/NodeSale!$C$9,0)</f>
        <v>627214000</v>
      </c>
      <c r="H38" s="147">
        <f t="shared" si="1"/>
        <v>1444800</v>
      </c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137"/>
      <c r="B39" s="145">
        <f t="shared" si="2"/>
        <v>27</v>
      </c>
      <c r="C39" s="146">
        <f>ROUND(NodeSale!$C$7*(1+NodeSale!$C$12)^(B39-1),2)</f>
        <v>0.86</v>
      </c>
      <c r="D39" s="147">
        <f>ROUND(C39*NodeSale!$C$10,0)</f>
        <v>3010</v>
      </c>
      <c r="E39" s="148">
        <f>ROUNDUP(NodeSale!$C$9*(1-NodeSale!$C$13)^(B39-1),0)</f>
        <v>475</v>
      </c>
      <c r="F39" s="148">
        <f t="shared" si="3"/>
        <v>45276</v>
      </c>
      <c r="G39" s="147">
        <f>ROUNDUP(D39*F39*(NodeSale!$C$4/NodeSale!$C$3)/NodeSale!$C$9,0)</f>
        <v>681403800</v>
      </c>
      <c r="H39" s="147">
        <f t="shared" si="1"/>
        <v>1429750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137"/>
      <c r="B40" s="145">
        <f t="shared" si="2"/>
        <v>28</v>
      </c>
      <c r="C40" s="146">
        <f>ROUND(NodeSale!$C$7*(1+NodeSale!$C$12)^(B40-1),2)</f>
        <v>0.92</v>
      </c>
      <c r="D40" s="147">
        <f>ROUND(C40*NodeSale!$C$10,0)</f>
        <v>3220</v>
      </c>
      <c r="E40" s="148">
        <f>ROUNDUP(NodeSale!$C$9*(1-NodeSale!$C$13)^(B40-1),0)</f>
        <v>438</v>
      </c>
      <c r="F40" s="148">
        <f t="shared" si="3"/>
        <v>45714</v>
      </c>
      <c r="G40" s="147">
        <f>ROUNDUP(D40*F40*(NodeSale!$C$4/NodeSale!$C$3)/NodeSale!$C$9,0)</f>
        <v>735995400</v>
      </c>
      <c r="H40" s="147">
        <f t="shared" si="1"/>
        <v>1410360</v>
      </c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137"/>
      <c r="B41" s="145">
        <f t="shared" si="2"/>
        <v>29</v>
      </c>
      <c r="C41" s="146">
        <f>ROUND(NodeSale!$C$7*(1+NodeSale!$C$12)^(B41-1),2)</f>
        <v>0.98</v>
      </c>
      <c r="D41" s="147">
        <f>ROUND(C41*NodeSale!$C$10,0)</f>
        <v>3430</v>
      </c>
      <c r="E41" s="148">
        <f>ROUNDUP(NodeSale!$C$9*(1-NodeSale!$C$13)^(B41-1),0)</f>
        <v>403</v>
      </c>
      <c r="F41" s="148">
        <f t="shared" si="3"/>
        <v>46117</v>
      </c>
      <c r="G41" s="147">
        <f>ROUNDUP(D41*F41*(NodeSale!$C$4/NodeSale!$C$3)/NodeSale!$C$9,0)</f>
        <v>790906550</v>
      </c>
      <c r="H41" s="147">
        <f t="shared" si="1"/>
        <v>1382290</v>
      </c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137"/>
      <c r="B42" s="145">
        <f t="shared" si="2"/>
        <v>30</v>
      </c>
      <c r="C42" s="146">
        <f>ROUND(NodeSale!$C$7*(1+NodeSale!$C$12)^(B42-1),2)</f>
        <v>1.05</v>
      </c>
      <c r="D42" s="147">
        <f>ROUND(C42*NodeSale!$C$10,0)</f>
        <v>3675</v>
      </c>
      <c r="E42" s="148">
        <f>ROUNDUP(NodeSale!$C$9*(1-NodeSale!$C$13)^(B42-1),0)</f>
        <v>372</v>
      </c>
      <c r="F42" s="148">
        <f t="shared" si="3"/>
        <v>46489</v>
      </c>
      <c r="G42" s="147">
        <f>ROUNDUP(D42*F42*(NodeSale!$C$4/NodeSale!$C$3)/NodeSale!$C$9,0)</f>
        <v>854235375</v>
      </c>
      <c r="H42" s="147">
        <f t="shared" si="1"/>
        <v>1367100</v>
      </c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137"/>
      <c r="B43" s="145">
        <f t="shared" si="2"/>
        <v>31</v>
      </c>
      <c r="C43" s="146">
        <f>ROUND(NodeSale!$C$7*(1+NodeSale!$C$12)^(B43-1),2)</f>
        <v>1.12</v>
      </c>
      <c r="D43" s="147">
        <f>ROUND(C43*NodeSale!$C$10,0)</f>
        <v>3920</v>
      </c>
      <c r="E43" s="148">
        <f>ROUNDUP(NodeSale!$C$9*(1-NodeSale!$C$13)^(B43-1),0)</f>
        <v>342</v>
      </c>
      <c r="F43" s="148">
        <f t="shared" si="3"/>
        <v>46831</v>
      </c>
      <c r="G43" s="147">
        <f>ROUNDUP(D43*F43*(NodeSale!$C$4/NodeSale!$C$3)/NodeSale!$C$9,0)</f>
        <v>917887600</v>
      </c>
      <c r="H43" s="147">
        <f t="shared" si="1"/>
        <v>1340640</v>
      </c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137"/>
      <c r="B44" s="145">
        <f t="shared" si="2"/>
        <v>32</v>
      </c>
      <c r="C44" s="146">
        <f>ROUND(NodeSale!$C$7*(1+NodeSale!$C$12)^(B44-1),2)</f>
        <v>1.2</v>
      </c>
      <c r="D44" s="147">
        <f>ROUND(C44*NodeSale!$C$10,0)</f>
        <v>4200</v>
      </c>
      <c r="E44" s="148">
        <f>ROUNDUP(NodeSale!$C$9*(1-NodeSale!$C$13)^(B44-1),0)</f>
        <v>316</v>
      </c>
      <c r="F44" s="148">
        <f t="shared" si="3"/>
        <v>47147</v>
      </c>
      <c r="G44" s="147">
        <f>ROUNDUP(D44*F44*(NodeSale!$C$4/NodeSale!$C$3)/NodeSale!$C$9,0)</f>
        <v>990087000</v>
      </c>
      <c r="H44" s="147">
        <f t="shared" si="1"/>
        <v>1327200</v>
      </c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137"/>
      <c r="B45" s="145">
        <f t="shared" si="2"/>
        <v>33</v>
      </c>
      <c r="C45" s="146">
        <f>ROUND(NodeSale!$C$7*(1+NodeSale!$C$12)^(B45-1),2)</f>
        <v>1.28</v>
      </c>
      <c r="D45" s="147">
        <f>ROUND(C45*NodeSale!$C$10,0)</f>
        <v>4480</v>
      </c>
      <c r="E45" s="148">
        <f>ROUNDUP(NodeSale!$C$9*(1-NodeSale!$C$13)^(B45-1),0)</f>
        <v>291</v>
      </c>
      <c r="F45" s="148">
        <f t="shared" si="3"/>
        <v>47438</v>
      </c>
      <c r="G45" s="147">
        <f>ROUNDUP(D45*F45*(NodeSale!$C$4/NodeSale!$C$3)/NodeSale!$C$9,0)</f>
        <v>1062611200</v>
      </c>
      <c r="H45" s="147">
        <f t="shared" si="1"/>
        <v>1303680</v>
      </c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137"/>
      <c r="B46" s="145">
        <f t="shared" si="2"/>
        <v>34</v>
      </c>
      <c r="C46" s="146">
        <f>ROUND(NodeSale!$C$7*(1+NodeSale!$C$12)^(B46-1),2)</f>
        <v>1.37</v>
      </c>
      <c r="D46" s="147">
        <f>ROUND(C46*NodeSale!$C$10,0)</f>
        <v>4795</v>
      </c>
      <c r="E46" s="148">
        <f>ROUNDUP(NodeSale!$C$9*(1-NodeSale!$C$13)^(B46-1),0)</f>
        <v>268</v>
      </c>
      <c r="F46" s="148">
        <f t="shared" si="3"/>
        <v>47706</v>
      </c>
      <c r="G46" s="147">
        <f>ROUNDUP(D46*F46*(NodeSale!$C$4/NodeSale!$C$3)/NodeSale!$C$9,0)</f>
        <v>1143751350</v>
      </c>
      <c r="H46" s="147">
        <f t="shared" si="1"/>
        <v>1285060</v>
      </c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137"/>
      <c r="B47" s="145">
        <f t="shared" si="2"/>
        <v>35</v>
      </c>
      <c r="C47" s="146">
        <f>ROUND(NodeSale!$C$7*(1+NodeSale!$C$12)^(B47-1),2)</f>
        <v>1.46</v>
      </c>
      <c r="D47" s="147">
        <f>ROUND(C47*NodeSale!$C$10,0)</f>
        <v>5110</v>
      </c>
      <c r="E47" s="148">
        <f>ROUNDUP(NodeSale!$C$9*(1-NodeSale!$C$13)^(B47-1),0)</f>
        <v>247</v>
      </c>
      <c r="F47" s="148">
        <f t="shared" si="3"/>
        <v>47953</v>
      </c>
      <c r="G47" s="147">
        <f>ROUNDUP(D47*F47*(NodeSale!$C$4/NodeSale!$C$3)/NodeSale!$C$9,0)</f>
        <v>1225199150</v>
      </c>
      <c r="H47" s="147">
        <f t="shared" si="1"/>
        <v>1262170</v>
      </c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137"/>
      <c r="B48" s="145">
        <f t="shared" si="2"/>
        <v>36</v>
      </c>
      <c r="C48" s="146">
        <f>ROUND(NodeSale!$C$7*(1+NodeSale!$C$12)^(B48-1),2)</f>
        <v>1.57</v>
      </c>
      <c r="D48" s="147">
        <f>ROUND(C48*NodeSale!$C$10,0)</f>
        <v>5495</v>
      </c>
      <c r="E48" s="148">
        <f>ROUNDUP(NodeSale!$C$9*(1-NodeSale!$C$13)^(B48-1),0)</f>
        <v>227</v>
      </c>
      <c r="F48" s="148">
        <f t="shared" si="3"/>
        <v>48180</v>
      </c>
      <c r="G48" s="147">
        <f>ROUNDUP(D48*F48*(NodeSale!$C$4/NodeSale!$C$3)/NodeSale!$C$9,0)</f>
        <v>1323745500</v>
      </c>
      <c r="H48" s="147">
        <f t="shared" si="1"/>
        <v>1247365</v>
      </c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137"/>
      <c r="B49" s="145">
        <f t="shared" si="2"/>
        <v>37</v>
      </c>
      <c r="C49" s="146">
        <f>ROUND(NodeSale!$C$7*(1+NodeSale!$C$12)^(B49-1),2)</f>
        <v>1.67</v>
      </c>
      <c r="D49" s="147">
        <f>ROUND(C49*NodeSale!$C$10,0)</f>
        <v>5845</v>
      </c>
      <c r="E49" s="148">
        <f>ROUNDUP(NodeSale!$C$9*(1-NodeSale!$C$13)^(B49-1),0)</f>
        <v>210</v>
      </c>
      <c r="F49" s="148">
        <f t="shared" si="3"/>
        <v>48390</v>
      </c>
      <c r="G49" s="147">
        <f>ROUNDUP(D49*F49*(NodeSale!$C$4/NodeSale!$C$3)/NodeSale!$C$9,0)</f>
        <v>1414197750</v>
      </c>
      <c r="H49" s="147">
        <f t="shared" si="1"/>
        <v>1227450</v>
      </c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137"/>
      <c r="B50" s="145">
        <f t="shared" si="2"/>
        <v>38</v>
      </c>
      <c r="C50" s="146">
        <f>ROUND(NodeSale!$C$7*(1+NodeSale!$C$12)^(B50-1),2)</f>
        <v>1.79</v>
      </c>
      <c r="D50" s="147">
        <f>ROUND(C50*NodeSale!$C$10,0)</f>
        <v>6265</v>
      </c>
      <c r="E50" s="148">
        <f>ROUNDUP(NodeSale!$C$9*(1-NodeSale!$C$13)^(B50-1),0)</f>
        <v>193</v>
      </c>
      <c r="F50" s="148">
        <f t="shared" si="3"/>
        <v>48583</v>
      </c>
      <c r="G50" s="147">
        <f>ROUNDUP(D50*F50*(NodeSale!$C$4/NodeSale!$C$3)/NodeSale!$C$9,0)</f>
        <v>1521862475</v>
      </c>
      <c r="H50" s="147">
        <f t="shared" si="1"/>
        <v>1209145</v>
      </c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137"/>
      <c r="B51" s="145">
        <f t="shared" si="2"/>
        <v>39</v>
      </c>
      <c r="C51" s="146">
        <f>ROUND(NodeSale!$C$7*(1+NodeSale!$C$12)^(B51-1),2)</f>
        <v>1.91</v>
      </c>
      <c r="D51" s="147">
        <f>ROUND(C51*NodeSale!$C$10,0)</f>
        <v>6685</v>
      </c>
      <c r="E51" s="148">
        <f>ROUNDUP(NodeSale!$C$9*(1-NodeSale!$C$13)^(B51-1),0)</f>
        <v>178</v>
      </c>
      <c r="F51" s="148">
        <f t="shared" si="3"/>
        <v>48761</v>
      </c>
      <c r="G51" s="147">
        <f>ROUNDUP(D51*F51*(NodeSale!$C$4/NodeSale!$C$3)/NodeSale!$C$9,0)</f>
        <v>1629836425</v>
      </c>
      <c r="H51" s="147">
        <f t="shared" si="1"/>
        <v>1189930</v>
      </c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137"/>
      <c r="B52" s="145">
        <f t="shared" si="2"/>
        <v>40</v>
      </c>
      <c r="C52" s="146">
        <f>ROUND(NodeSale!$C$7*(1+NodeSale!$C$12)^(B52-1),2)</f>
        <v>2.05</v>
      </c>
      <c r="D52" s="147">
        <f>ROUND(C52*NodeSale!$C$10,0)</f>
        <v>7175</v>
      </c>
      <c r="E52" s="148">
        <f>ROUNDUP(NodeSale!$C$9*(1-NodeSale!$C$13)^(B52-1),0)</f>
        <v>164</v>
      </c>
      <c r="F52" s="148">
        <f t="shared" si="3"/>
        <v>48925</v>
      </c>
      <c r="G52" s="147">
        <f>ROUNDUP(D52*F52*(NodeSale!$C$4/NodeSale!$C$3)/NodeSale!$C$9,0)</f>
        <v>1755184375</v>
      </c>
      <c r="H52" s="147">
        <f t="shared" si="1"/>
        <v>1176700</v>
      </c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137"/>
      <c r="B53" s="145">
        <f t="shared" si="2"/>
        <v>41</v>
      </c>
      <c r="C53" s="146">
        <f>ROUND(NodeSale!$C$7*(1+NodeSale!$C$12)^(B53-1),2)</f>
        <v>2.19</v>
      </c>
      <c r="D53" s="147">
        <f>ROUND(C53*NodeSale!$C$10,0)</f>
        <v>7665</v>
      </c>
      <c r="E53" s="148">
        <f>ROUNDUP(NodeSale!$C$9*(1-NodeSale!$C$13)^(B53-1),0)</f>
        <v>151</v>
      </c>
      <c r="F53" s="148">
        <f t="shared" si="3"/>
        <v>49076</v>
      </c>
      <c r="G53" s="147">
        <f>ROUNDUP(D53*F53*(NodeSale!$C$4/NodeSale!$C$3)/NodeSale!$C$9,0)</f>
        <v>1880837700</v>
      </c>
      <c r="H53" s="147">
        <f t="shared" si="1"/>
        <v>1157415</v>
      </c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137"/>
      <c r="B54" s="145">
        <f t="shared" si="2"/>
        <v>42</v>
      </c>
      <c r="C54" s="146">
        <f>ROUND(NodeSale!$C$7*(1+NodeSale!$C$12)^(B54-1),2)</f>
        <v>2.34</v>
      </c>
      <c r="D54" s="147">
        <f>ROUND(C54*NodeSale!$C$10,0)</f>
        <v>8190</v>
      </c>
      <c r="E54" s="148">
        <f>ROUNDUP(NodeSale!$C$9*(1-NodeSale!$C$13)^(B54-1),0)</f>
        <v>139</v>
      </c>
      <c r="F54" s="148">
        <f t="shared" si="3"/>
        <v>49215</v>
      </c>
      <c r="G54" s="147">
        <f>ROUNDUP(D54*F54*(NodeSale!$C$4/NodeSale!$C$3)/NodeSale!$C$9,0)</f>
        <v>2015354250</v>
      </c>
      <c r="H54" s="147">
        <f t="shared" si="1"/>
        <v>1138410</v>
      </c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137"/>
      <c r="B55" s="145">
        <f t="shared" si="2"/>
        <v>43</v>
      </c>
      <c r="C55" s="146">
        <f>ROUND(NodeSale!$C$7*(1+NodeSale!$C$12)^(B55-1),2)</f>
        <v>2.5</v>
      </c>
      <c r="D55" s="147">
        <f>ROUND(C55*NodeSale!$C$10,0)</f>
        <v>8750</v>
      </c>
      <c r="E55" s="148">
        <f>ROUNDUP(NodeSale!$C$9*(1-NodeSale!$C$13)^(B55-1),0)</f>
        <v>128</v>
      </c>
      <c r="F55" s="148">
        <f t="shared" si="3"/>
        <v>49343</v>
      </c>
      <c r="G55" s="147">
        <f>ROUNDUP(D55*F55*(NodeSale!$C$4/NodeSale!$C$3)/NodeSale!$C$9,0)</f>
        <v>2158756250</v>
      </c>
      <c r="H55" s="147">
        <f t="shared" si="1"/>
        <v>1120000</v>
      </c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137"/>
      <c r="B56" s="145">
        <f t="shared" si="2"/>
        <v>44</v>
      </c>
      <c r="C56" s="146">
        <f>ROUND(NodeSale!$C$7*(1+NodeSale!$C$12)^(B56-1),2)</f>
        <v>2.68</v>
      </c>
      <c r="D56" s="147">
        <f>ROUND(C56*NodeSale!$C$10,0)</f>
        <v>9380</v>
      </c>
      <c r="E56" s="148">
        <f>ROUNDUP(NodeSale!$C$9*(1-NodeSale!$C$13)^(B56-1),0)</f>
        <v>118</v>
      </c>
      <c r="F56" s="148">
        <f t="shared" si="3"/>
        <v>49461</v>
      </c>
      <c r="G56" s="147">
        <f>ROUNDUP(D56*F56*(NodeSale!$C$4/NodeSale!$C$3)/NodeSale!$C$9,0)</f>
        <v>2319720900</v>
      </c>
      <c r="H56" s="147">
        <f t="shared" si="1"/>
        <v>1106840</v>
      </c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137"/>
      <c r="B57" s="145">
        <f t="shared" si="2"/>
        <v>45</v>
      </c>
      <c r="C57" s="146">
        <f>ROUND(NodeSale!$C$7*(1+NodeSale!$C$12)^(B57-1),2)</f>
        <v>2.86</v>
      </c>
      <c r="D57" s="147">
        <f>ROUND(C57*NodeSale!$C$10,0)</f>
        <v>10010</v>
      </c>
      <c r="E57" s="148">
        <f>ROUNDUP(NodeSale!$C$9*(1-NodeSale!$C$13)^(B57-1),0)</f>
        <v>109</v>
      </c>
      <c r="F57" s="148">
        <f t="shared" si="3"/>
        <v>49570</v>
      </c>
      <c r="G57" s="147">
        <f>ROUNDUP(D57*F57*(NodeSale!$C$4/NodeSale!$C$3)/NodeSale!$C$9,0)</f>
        <v>2480978500</v>
      </c>
      <c r="H57" s="147">
        <f t="shared" si="1"/>
        <v>1091090</v>
      </c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45">
        <f t="shared" si="2"/>
        <v>46</v>
      </c>
      <c r="C58" s="146">
        <f>ROUND(NodeSale!$C$7*(1+NodeSale!$C$12)^(B58-1),2)</f>
        <v>3.06</v>
      </c>
      <c r="D58" s="147">
        <f>ROUND(C58*NodeSale!$C$10,0)</f>
        <v>10710</v>
      </c>
      <c r="E58" s="148">
        <f>ROUNDUP(NodeSale!$C$9*(1-NodeSale!$C$13)^(B58-1),0)</f>
        <v>100</v>
      </c>
      <c r="F58" s="148">
        <f t="shared" si="3"/>
        <v>49670</v>
      </c>
      <c r="G58" s="147">
        <f>ROUNDUP(D58*F58*(NodeSale!$C$4/NodeSale!$C$3)/NodeSale!$C$9,0)</f>
        <v>2659828500</v>
      </c>
      <c r="H58" s="147">
        <f t="shared" si="1"/>
        <v>1071000</v>
      </c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137"/>
      <c r="B59" s="145">
        <f t="shared" si="2"/>
        <v>47</v>
      </c>
      <c r="C59" s="146">
        <f>ROUND(NodeSale!$C$7*(1+NodeSale!$C$12)^(B59-1),2)</f>
        <v>3.27</v>
      </c>
      <c r="D59" s="147">
        <f>ROUND(C59*NodeSale!$C$10,0)</f>
        <v>11445</v>
      </c>
      <c r="E59" s="148">
        <f>ROUNDUP(NodeSale!$C$9*(1-NodeSale!$C$13)^(B59-1),0)</f>
        <v>93</v>
      </c>
      <c r="F59" s="148">
        <f t="shared" si="3"/>
        <v>49763</v>
      </c>
      <c r="G59" s="147">
        <f>ROUNDUP(D59*F59*(NodeSale!$C$4/NodeSale!$C$3)/NodeSale!$C$9,0)</f>
        <v>2847687675</v>
      </c>
      <c r="H59" s="147">
        <f t="shared" si="1"/>
        <v>1064385</v>
      </c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137"/>
      <c r="B60" s="145">
        <f t="shared" si="2"/>
        <v>48</v>
      </c>
      <c r="C60" s="146">
        <f>ROUND(NodeSale!$C$7*(1+NodeSale!$C$12)^(B60-1),2)</f>
        <v>3.5</v>
      </c>
      <c r="D60" s="147">
        <f>ROUND(C60*NodeSale!$C$10,0)</f>
        <v>12250</v>
      </c>
      <c r="E60" s="148">
        <f>ROUNDUP(NodeSale!$C$9*(1-NodeSale!$C$13)^(B60-1),0)</f>
        <v>85</v>
      </c>
      <c r="F60" s="148">
        <f t="shared" si="3"/>
        <v>49848</v>
      </c>
      <c r="G60" s="147">
        <f>ROUNDUP(D60*F60*(NodeSale!$C$4/NodeSale!$C$3)/NodeSale!$C$9,0)</f>
        <v>3053190000</v>
      </c>
      <c r="H60" s="147">
        <f t="shared" si="1"/>
        <v>1041250</v>
      </c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137"/>
      <c r="B61" s="145">
        <f t="shared" si="2"/>
        <v>49</v>
      </c>
      <c r="C61" s="146">
        <f>ROUND(NodeSale!$C$7*(1+NodeSale!$C$12)^(B61-1),2)</f>
        <v>3.74</v>
      </c>
      <c r="D61" s="147">
        <f>ROUND(C61*NodeSale!$C$10,0)</f>
        <v>13090</v>
      </c>
      <c r="E61" s="148">
        <f>ROUNDUP(NodeSale!$C$9*(1-NodeSale!$C$13)^(B61-1),0)</f>
        <v>79</v>
      </c>
      <c r="F61" s="148">
        <f t="shared" si="3"/>
        <v>49927</v>
      </c>
      <c r="G61" s="147">
        <f>ROUNDUP(D61*F61*(NodeSale!$C$4/NodeSale!$C$3)/NodeSale!$C$9,0)</f>
        <v>3267722150</v>
      </c>
      <c r="H61" s="147">
        <f t="shared" si="1"/>
        <v>1034110</v>
      </c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137"/>
      <c r="B62" s="145">
        <f t="shared" si="2"/>
        <v>50</v>
      </c>
      <c r="C62" s="146">
        <f>ROUND(NodeSale!$C$7*(1+NodeSale!$C$12)^(B62-1),2)</f>
        <v>4</v>
      </c>
      <c r="D62" s="147">
        <f>ROUND(C62*NodeSale!$C$10,0)</f>
        <v>14000</v>
      </c>
      <c r="E62" s="148">
        <f>ROUNDUP(NodeSale!$C$9*(1-NodeSale!$C$13)^(B62-1),0)</f>
        <v>73</v>
      </c>
      <c r="F62" s="148">
        <f t="shared" si="3"/>
        <v>50000</v>
      </c>
      <c r="G62" s="147">
        <f>ROUNDUP(D62*F62*(NodeSale!$C$4/NodeSale!$C$3)/NodeSale!$C$9,0)</f>
        <v>3500000000</v>
      </c>
      <c r="H62" s="147">
        <f t="shared" si="1"/>
        <v>1022000</v>
      </c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137"/>
      <c r="B63" s="138"/>
      <c r="C63" s="138"/>
      <c r="D63" s="138"/>
      <c r="E63" s="138"/>
      <c r="F63" s="138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137"/>
      <c r="B64" s="138"/>
      <c r="C64" s="138"/>
      <c r="D64" s="138"/>
      <c r="E64" s="138"/>
      <c r="F64" s="138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137"/>
      <c r="B65" s="138"/>
      <c r="C65" s="138"/>
      <c r="D65" s="138"/>
      <c r="E65" s="138"/>
      <c r="F65" s="138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137"/>
      <c r="B66" s="138"/>
      <c r="C66" s="138"/>
      <c r="D66" s="138"/>
      <c r="E66" s="138"/>
      <c r="F66" s="138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137"/>
      <c r="B67" s="138"/>
      <c r="C67" s="138"/>
      <c r="D67" s="138"/>
      <c r="E67" s="138"/>
      <c r="F67" s="138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137"/>
      <c r="B68" s="138"/>
      <c r="C68" s="138"/>
      <c r="D68" s="138"/>
      <c r="E68" s="138"/>
      <c r="F68" s="138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137"/>
      <c r="B69" s="138"/>
      <c r="C69" s="138"/>
      <c r="D69" s="138"/>
      <c r="E69" s="138"/>
      <c r="F69" s="138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137"/>
      <c r="B70" s="138"/>
      <c r="C70" s="138"/>
      <c r="D70" s="138"/>
      <c r="E70" s="138"/>
      <c r="F70" s="138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137"/>
      <c r="B71" s="138"/>
      <c r="C71" s="138"/>
      <c r="D71" s="138"/>
      <c r="E71" s="138"/>
      <c r="F71" s="138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137"/>
      <c r="B72" s="138"/>
      <c r="C72" s="138"/>
      <c r="D72" s="138"/>
      <c r="E72" s="138"/>
      <c r="F72" s="138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137"/>
      <c r="B73" s="138"/>
      <c r="C73" s="138"/>
      <c r="D73" s="138"/>
      <c r="E73" s="138"/>
      <c r="F73" s="138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137"/>
      <c r="B74" s="138"/>
      <c r="C74" s="138"/>
      <c r="D74" s="138"/>
      <c r="E74" s="138"/>
      <c r="F74" s="138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137"/>
      <c r="B75" s="138"/>
      <c r="C75" s="138"/>
      <c r="D75" s="138"/>
      <c r="E75" s="138"/>
      <c r="F75" s="138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137"/>
      <c r="B76" s="138"/>
      <c r="C76" s="138"/>
      <c r="D76" s="138"/>
      <c r="E76" s="138"/>
      <c r="F76" s="138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137"/>
      <c r="B77" s="138"/>
      <c r="C77" s="138"/>
      <c r="D77" s="138"/>
      <c r="E77" s="138"/>
      <c r="F77" s="138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137"/>
      <c r="B78" s="138"/>
      <c r="C78" s="138"/>
      <c r="D78" s="138"/>
      <c r="E78" s="138"/>
      <c r="F78" s="138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137"/>
      <c r="B79" s="138"/>
      <c r="C79" s="138"/>
      <c r="D79" s="138"/>
      <c r="E79" s="138"/>
      <c r="F79" s="138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137"/>
      <c r="B80" s="138"/>
      <c r="C80" s="138"/>
      <c r="D80" s="138"/>
      <c r="E80" s="138"/>
      <c r="F80" s="138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137"/>
      <c r="B81" s="138"/>
      <c r="C81" s="138"/>
      <c r="D81" s="138"/>
      <c r="E81" s="138"/>
      <c r="F81" s="138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137"/>
      <c r="B82" s="138"/>
      <c r="C82" s="138"/>
      <c r="D82" s="138"/>
      <c r="E82" s="138"/>
      <c r="F82" s="138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137"/>
      <c r="B83" s="138"/>
      <c r="C83" s="138"/>
      <c r="D83" s="138"/>
      <c r="E83" s="138"/>
      <c r="F83" s="138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137"/>
      <c r="B84" s="138"/>
      <c r="C84" s="138"/>
      <c r="D84" s="138"/>
      <c r="E84" s="138"/>
      <c r="F84" s="138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137"/>
      <c r="B85" s="138"/>
      <c r="C85" s="138"/>
      <c r="D85" s="138"/>
      <c r="E85" s="138"/>
      <c r="F85" s="138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137"/>
      <c r="B86" s="138"/>
      <c r="C86" s="138"/>
      <c r="D86" s="138"/>
      <c r="E86" s="138"/>
      <c r="F86" s="138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137"/>
      <c r="B87" s="138"/>
      <c r="C87" s="138"/>
      <c r="D87" s="138"/>
      <c r="E87" s="138"/>
      <c r="F87" s="138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137"/>
      <c r="B88" s="138"/>
      <c r="C88" s="138"/>
      <c r="D88" s="138"/>
      <c r="E88" s="138"/>
      <c r="F88" s="138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137"/>
      <c r="B89" s="138"/>
      <c r="C89" s="138"/>
      <c r="D89" s="138"/>
      <c r="E89" s="138"/>
      <c r="F89" s="138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137"/>
      <c r="B90" s="138"/>
      <c r="C90" s="138"/>
      <c r="D90" s="138"/>
      <c r="E90" s="138"/>
      <c r="F90" s="138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137"/>
      <c r="B91" s="138"/>
      <c r="C91" s="138"/>
      <c r="D91" s="138"/>
      <c r="E91" s="138"/>
      <c r="F91" s="138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137"/>
      <c r="B92" s="138"/>
      <c r="C92" s="138"/>
      <c r="D92" s="138"/>
      <c r="E92" s="138"/>
      <c r="F92" s="138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37"/>
      <c r="B93" s="138"/>
      <c r="C93" s="138"/>
      <c r="D93" s="138"/>
      <c r="E93" s="138"/>
      <c r="F93" s="138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137"/>
      <c r="B94" s="138"/>
      <c r="C94" s="138"/>
      <c r="D94" s="138"/>
      <c r="E94" s="138"/>
      <c r="F94" s="138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137"/>
      <c r="B95" s="138"/>
      <c r="C95" s="138"/>
      <c r="D95" s="138"/>
      <c r="E95" s="138"/>
      <c r="F95" s="138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137"/>
      <c r="B96" s="138"/>
      <c r="C96" s="138"/>
      <c r="D96" s="138"/>
      <c r="E96" s="138"/>
      <c r="F96" s="138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137"/>
      <c r="B97" s="138"/>
      <c r="C97" s="138"/>
      <c r="D97" s="138"/>
      <c r="E97" s="138"/>
      <c r="F97" s="138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137"/>
      <c r="B98" s="138"/>
      <c r="C98" s="138"/>
      <c r="D98" s="138"/>
      <c r="E98" s="138"/>
      <c r="F98" s="138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137"/>
      <c r="B99" s="138"/>
      <c r="C99" s="138"/>
      <c r="D99" s="138"/>
      <c r="E99" s="138"/>
      <c r="F99" s="138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37"/>
      <c r="B100" s="138"/>
      <c r="C100" s="138"/>
      <c r="D100" s="138"/>
      <c r="E100" s="138"/>
      <c r="F100" s="138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137"/>
      <c r="B101" s="138"/>
      <c r="C101" s="138"/>
      <c r="D101" s="138"/>
      <c r="E101" s="138"/>
      <c r="F101" s="138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137"/>
      <c r="B102" s="138"/>
      <c r="C102" s="138"/>
      <c r="D102" s="138"/>
      <c r="E102" s="138"/>
      <c r="F102" s="138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137"/>
      <c r="B103" s="138"/>
      <c r="C103" s="138"/>
      <c r="D103" s="138"/>
      <c r="E103" s="138"/>
      <c r="F103" s="138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137"/>
      <c r="B104" s="138"/>
      <c r="C104" s="138"/>
      <c r="D104" s="138"/>
      <c r="E104" s="138"/>
      <c r="F104" s="138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137"/>
      <c r="B105" s="138"/>
      <c r="C105" s="138"/>
      <c r="D105" s="138"/>
      <c r="E105" s="138"/>
      <c r="F105" s="138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137"/>
      <c r="B106" s="138"/>
      <c r="C106" s="138"/>
      <c r="D106" s="138"/>
      <c r="E106" s="138"/>
      <c r="F106" s="138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137"/>
      <c r="B107" s="138"/>
      <c r="C107" s="138"/>
      <c r="D107" s="138"/>
      <c r="E107" s="138"/>
      <c r="F107" s="138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137"/>
      <c r="B108" s="138"/>
      <c r="C108" s="138"/>
      <c r="D108" s="138"/>
      <c r="E108" s="138"/>
      <c r="F108" s="138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137"/>
      <c r="B109" s="138"/>
      <c r="C109" s="138"/>
      <c r="D109" s="138"/>
      <c r="E109" s="138"/>
      <c r="F109" s="138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137"/>
      <c r="B110" s="138"/>
      <c r="C110" s="138"/>
      <c r="D110" s="138"/>
      <c r="E110" s="138"/>
      <c r="F110" s="138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137"/>
      <c r="B111" s="138"/>
      <c r="C111" s="138"/>
      <c r="D111" s="138"/>
      <c r="E111" s="138"/>
      <c r="F111" s="138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137"/>
      <c r="B112" s="138"/>
      <c r="C112" s="138"/>
      <c r="D112" s="138"/>
      <c r="E112" s="138"/>
      <c r="F112" s="138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137"/>
      <c r="B113" s="138"/>
      <c r="C113" s="138"/>
      <c r="D113" s="138"/>
      <c r="E113" s="138"/>
      <c r="F113" s="138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137"/>
      <c r="B114" s="138"/>
      <c r="C114" s="138"/>
      <c r="D114" s="138"/>
      <c r="E114" s="138"/>
      <c r="F114" s="138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137"/>
      <c r="B115" s="138"/>
      <c r="C115" s="138"/>
      <c r="D115" s="138"/>
      <c r="E115" s="138"/>
      <c r="F115" s="138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137"/>
      <c r="B116" s="138"/>
      <c r="C116" s="138"/>
      <c r="D116" s="138"/>
      <c r="E116" s="138"/>
      <c r="F116" s="138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137"/>
      <c r="B117" s="138"/>
      <c r="C117" s="138"/>
      <c r="D117" s="138"/>
      <c r="E117" s="138"/>
      <c r="F117" s="138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137"/>
      <c r="B118" s="138"/>
      <c r="C118" s="138"/>
      <c r="D118" s="138"/>
      <c r="E118" s="138"/>
      <c r="F118" s="138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137"/>
      <c r="B119" s="138"/>
      <c r="C119" s="138"/>
      <c r="D119" s="138"/>
      <c r="E119" s="138"/>
      <c r="F119" s="138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137"/>
      <c r="B120" s="138"/>
      <c r="C120" s="138"/>
      <c r="D120" s="138"/>
      <c r="E120" s="138"/>
      <c r="F120" s="138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137"/>
      <c r="B121" s="138"/>
      <c r="C121" s="138"/>
      <c r="D121" s="138"/>
      <c r="E121" s="138"/>
      <c r="F121" s="138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137"/>
      <c r="B122" s="138"/>
      <c r="C122" s="138"/>
      <c r="D122" s="138"/>
      <c r="E122" s="138"/>
      <c r="F122" s="138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137"/>
      <c r="B123" s="138"/>
      <c r="C123" s="138"/>
      <c r="D123" s="138"/>
      <c r="E123" s="138"/>
      <c r="F123" s="138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137"/>
      <c r="B124" s="138"/>
      <c r="C124" s="138"/>
      <c r="D124" s="138"/>
      <c r="E124" s="138"/>
      <c r="F124" s="138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137"/>
      <c r="B125" s="138"/>
      <c r="C125" s="138"/>
      <c r="D125" s="138"/>
      <c r="E125" s="138"/>
      <c r="F125" s="138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137"/>
      <c r="B126" s="138"/>
      <c r="C126" s="138"/>
      <c r="D126" s="138"/>
      <c r="E126" s="138"/>
      <c r="F126" s="138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137"/>
      <c r="B127" s="138"/>
      <c r="C127" s="138"/>
      <c r="D127" s="138"/>
      <c r="E127" s="138"/>
      <c r="F127" s="138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137"/>
      <c r="B128" s="138"/>
      <c r="C128" s="138"/>
      <c r="D128" s="138"/>
      <c r="E128" s="138"/>
      <c r="F128" s="138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137"/>
      <c r="B129" s="138"/>
      <c r="C129" s="138"/>
      <c r="D129" s="138"/>
      <c r="E129" s="138"/>
      <c r="F129" s="138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137"/>
      <c r="B130" s="138"/>
      <c r="C130" s="138"/>
      <c r="D130" s="138"/>
      <c r="E130" s="138"/>
      <c r="F130" s="138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137"/>
      <c r="B131" s="138"/>
      <c r="C131" s="138"/>
      <c r="D131" s="138"/>
      <c r="E131" s="138"/>
      <c r="F131" s="138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137"/>
      <c r="B132" s="138"/>
      <c r="C132" s="138"/>
      <c r="D132" s="138"/>
      <c r="E132" s="138"/>
      <c r="F132" s="138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137"/>
      <c r="B133" s="138"/>
      <c r="C133" s="138"/>
      <c r="D133" s="138"/>
      <c r="E133" s="138"/>
      <c r="F133" s="138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137"/>
      <c r="B134" s="138"/>
      <c r="C134" s="138"/>
      <c r="D134" s="138"/>
      <c r="E134" s="138"/>
      <c r="F134" s="138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137"/>
      <c r="B135" s="138"/>
      <c r="C135" s="138"/>
      <c r="D135" s="138"/>
      <c r="E135" s="138"/>
      <c r="F135" s="138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137"/>
      <c r="B136" s="138"/>
      <c r="C136" s="138"/>
      <c r="D136" s="138"/>
      <c r="E136" s="138"/>
      <c r="F136" s="138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137"/>
      <c r="B137" s="138"/>
      <c r="C137" s="138"/>
      <c r="D137" s="138"/>
      <c r="E137" s="138"/>
      <c r="F137" s="138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137"/>
      <c r="B138" s="138"/>
      <c r="C138" s="138"/>
      <c r="D138" s="138"/>
      <c r="E138" s="138"/>
      <c r="F138" s="138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137"/>
      <c r="B139" s="138"/>
      <c r="C139" s="138"/>
      <c r="D139" s="138"/>
      <c r="E139" s="138"/>
      <c r="F139" s="138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137"/>
      <c r="B140" s="138"/>
      <c r="C140" s="138"/>
      <c r="D140" s="138"/>
      <c r="E140" s="138"/>
      <c r="F140" s="138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137"/>
      <c r="B141" s="138"/>
      <c r="C141" s="138"/>
      <c r="D141" s="138"/>
      <c r="E141" s="138"/>
      <c r="F141" s="138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137"/>
      <c r="B142" s="138"/>
      <c r="C142" s="138"/>
      <c r="D142" s="138"/>
      <c r="E142" s="138"/>
      <c r="F142" s="138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137"/>
      <c r="B143" s="138"/>
      <c r="C143" s="138"/>
      <c r="D143" s="138"/>
      <c r="E143" s="138"/>
      <c r="F143" s="138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137"/>
      <c r="B144" s="138"/>
      <c r="C144" s="138"/>
      <c r="D144" s="138"/>
      <c r="E144" s="138"/>
      <c r="F144" s="138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137"/>
      <c r="B145" s="138"/>
      <c r="C145" s="138"/>
      <c r="D145" s="138"/>
      <c r="E145" s="138"/>
      <c r="F145" s="138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137"/>
      <c r="B146" s="138"/>
      <c r="C146" s="138"/>
      <c r="D146" s="138"/>
      <c r="E146" s="138"/>
      <c r="F146" s="138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137"/>
      <c r="B147" s="138"/>
      <c r="C147" s="138"/>
      <c r="D147" s="138"/>
      <c r="E147" s="138"/>
      <c r="F147" s="138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137"/>
      <c r="B148" s="138"/>
      <c r="C148" s="138"/>
      <c r="D148" s="138"/>
      <c r="E148" s="138"/>
      <c r="F148" s="138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137"/>
      <c r="B149" s="138"/>
      <c r="C149" s="138"/>
      <c r="D149" s="138"/>
      <c r="E149" s="138"/>
      <c r="F149" s="138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137"/>
      <c r="B150" s="138"/>
      <c r="C150" s="138"/>
      <c r="D150" s="138"/>
      <c r="E150" s="138"/>
      <c r="F150" s="138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137"/>
      <c r="B151" s="138"/>
      <c r="C151" s="138"/>
      <c r="D151" s="138"/>
      <c r="E151" s="138"/>
      <c r="F151" s="138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137"/>
      <c r="B152" s="138"/>
      <c r="C152" s="138"/>
      <c r="D152" s="138"/>
      <c r="E152" s="138"/>
      <c r="F152" s="138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137"/>
      <c r="B153" s="138"/>
      <c r="C153" s="138"/>
      <c r="D153" s="138"/>
      <c r="E153" s="138"/>
      <c r="F153" s="138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137"/>
      <c r="B154" s="138"/>
      <c r="C154" s="138"/>
      <c r="D154" s="138"/>
      <c r="E154" s="138"/>
      <c r="F154" s="138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137"/>
      <c r="B155" s="138"/>
      <c r="C155" s="138"/>
      <c r="D155" s="138"/>
      <c r="E155" s="138"/>
      <c r="F155" s="138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137"/>
      <c r="B156" s="138"/>
      <c r="C156" s="138"/>
      <c r="D156" s="138"/>
      <c r="E156" s="138"/>
      <c r="F156" s="138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137"/>
      <c r="B157" s="138"/>
      <c r="C157" s="138"/>
      <c r="D157" s="138"/>
      <c r="E157" s="138"/>
      <c r="F157" s="138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137"/>
      <c r="B158" s="138"/>
      <c r="C158" s="138"/>
      <c r="D158" s="138"/>
      <c r="E158" s="138"/>
      <c r="F158" s="138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137"/>
      <c r="B159" s="138"/>
      <c r="C159" s="138"/>
      <c r="D159" s="138"/>
      <c r="E159" s="138"/>
      <c r="F159" s="138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137"/>
      <c r="B160" s="138"/>
      <c r="C160" s="138"/>
      <c r="D160" s="138"/>
      <c r="E160" s="138"/>
      <c r="F160" s="138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137"/>
      <c r="B161" s="138"/>
      <c r="C161" s="138"/>
      <c r="D161" s="138"/>
      <c r="E161" s="138"/>
      <c r="F161" s="138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137"/>
      <c r="B162" s="138"/>
      <c r="C162" s="138"/>
      <c r="D162" s="138"/>
      <c r="E162" s="138"/>
      <c r="F162" s="138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137"/>
      <c r="B163" s="138"/>
      <c r="C163" s="138"/>
      <c r="D163" s="138"/>
      <c r="E163" s="138"/>
      <c r="F163" s="138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137"/>
      <c r="B164" s="138"/>
      <c r="C164" s="138"/>
      <c r="D164" s="138"/>
      <c r="E164" s="138"/>
      <c r="F164" s="138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137"/>
      <c r="B165" s="138"/>
      <c r="C165" s="138"/>
      <c r="D165" s="138"/>
      <c r="E165" s="138"/>
      <c r="F165" s="138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137"/>
      <c r="B166" s="138"/>
      <c r="C166" s="138"/>
      <c r="D166" s="138"/>
      <c r="E166" s="138"/>
      <c r="F166" s="138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137"/>
      <c r="B167" s="138"/>
      <c r="C167" s="138"/>
      <c r="D167" s="138"/>
      <c r="E167" s="138"/>
      <c r="F167" s="138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137"/>
      <c r="B168" s="138"/>
      <c r="C168" s="138"/>
      <c r="D168" s="138"/>
      <c r="E168" s="138"/>
      <c r="F168" s="138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137"/>
      <c r="B169" s="138"/>
      <c r="C169" s="138"/>
      <c r="D169" s="138"/>
      <c r="E169" s="138"/>
      <c r="F169" s="138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137"/>
      <c r="B170" s="138"/>
      <c r="C170" s="138"/>
      <c r="D170" s="138"/>
      <c r="E170" s="138"/>
      <c r="F170" s="138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137"/>
      <c r="B171" s="138"/>
      <c r="C171" s="138"/>
      <c r="D171" s="138"/>
      <c r="E171" s="138"/>
      <c r="F171" s="138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137"/>
      <c r="B172" s="138"/>
      <c r="C172" s="138"/>
      <c r="D172" s="138"/>
      <c r="E172" s="138"/>
      <c r="F172" s="138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137"/>
      <c r="B173" s="138"/>
      <c r="C173" s="138"/>
      <c r="D173" s="138"/>
      <c r="E173" s="138"/>
      <c r="F173" s="138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137"/>
      <c r="B174" s="138"/>
      <c r="C174" s="138"/>
      <c r="D174" s="138"/>
      <c r="E174" s="138"/>
      <c r="F174" s="138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137"/>
      <c r="B175" s="138"/>
      <c r="C175" s="138"/>
      <c r="D175" s="138"/>
      <c r="E175" s="138"/>
      <c r="F175" s="138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137"/>
      <c r="B176" s="138"/>
      <c r="C176" s="138"/>
      <c r="D176" s="138"/>
      <c r="E176" s="138"/>
      <c r="F176" s="138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137"/>
      <c r="B177" s="138"/>
      <c r="C177" s="138"/>
      <c r="D177" s="138"/>
      <c r="E177" s="138"/>
      <c r="F177" s="138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137"/>
      <c r="B178" s="138"/>
      <c r="C178" s="138"/>
      <c r="D178" s="138"/>
      <c r="E178" s="138"/>
      <c r="F178" s="138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137"/>
      <c r="B179" s="138"/>
      <c r="C179" s="138"/>
      <c r="D179" s="138"/>
      <c r="E179" s="138"/>
      <c r="F179" s="138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137"/>
      <c r="B180" s="138"/>
      <c r="C180" s="138"/>
      <c r="D180" s="138"/>
      <c r="E180" s="138"/>
      <c r="F180" s="138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137"/>
      <c r="B181" s="138"/>
      <c r="C181" s="138"/>
      <c r="D181" s="138"/>
      <c r="E181" s="138"/>
      <c r="F181" s="138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137"/>
      <c r="B182" s="138"/>
      <c r="C182" s="138"/>
      <c r="D182" s="138"/>
      <c r="E182" s="138"/>
      <c r="F182" s="138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137"/>
      <c r="B183" s="138"/>
      <c r="C183" s="138"/>
      <c r="D183" s="138"/>
      <c r="E183" s="138"/>
      <c r="F183" s="138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137"/>
      <c r="B184" s="138"/>
      <c r="C184" s="138"/>
      <c r="D184" s="138"/>
      <c r="E184" s="138"/>
      <c r="F184" s="138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137"/>
      <c r="B185" s="138"/>
      <c r="C185" s="138"/>
      <c r="D185" s="138"/>
      <c r="E185" s="138"/>
      <c r="F185" s="138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137"/>
      <c r="B186" s="138"/>
      <c r="C186" s="138"/>
      <c r="D186" s="138"/>
      <c r="E186" s="138"/>
      <c r="F186" s="138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137"/>
      <c r="B187" s="138"/>
      <c r="C187" s="138"/>
      <c r="D187" s="138"/>
      <c r="E187" s="138"/>
      <c r="F187" s="138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137"/>
      <c r="B188" s="138"/>
      <c r="C188" s="138"/>
      <c r="D188" s="138"/>
      <c r="E188" s="138"/>
      <c r="F188" s="138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137"/>
      <c r="B189" s="138"/>
      <c r="C189" s="138"/>
      <c r="D189" s="138"/>
      <c r="E189" s="138"/>
      <c r="F189" s="138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137"/>
      <c r="B190" s="138"/>
      <c r="C190" s="138"/>
      <c r="D190" s="138"/>
      <c r="E190" s="138"/>
      <c r="F190" s="138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137"/>
      <c r="B191" s="138"/>
      <c r="C191" s="138"/>
      <c r="D191" s="138"/>
      <c r="E191" s="138"/>
      <c r="F191" s="138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137"/>
      <c r="B192" s="138"/>
      <c r="C192" s="138"/>
      <c r="D192" s="138"/>
      <c r="E192" s="138"/>
      <c r="F192" s="138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137"/>
      <c r="B193" s="138"/>
      <c r="C193" s="138"/>
      <c r="D193" s="138"/>
      <c r="E193" s="138"/>
      <c r="F193" s="138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137"/>
      <c r="B194" s="138"/>
      <c r="C194" s="138"/>
      <c r="D194" s="138"/>
      <c r="E194" s="138"/>
      <c r="F194" s="138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137"/>
      <c r="B195" s="138"/>
      <c r="C195" s="138"/>
      <c r="D195" s="138"/>
      <c r="E195" s="138"/>
      <c r="F195" s="138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137"/>
      <c r="B196" s="138"/>
      <c r="C196" s="138"/>
      <c r="D196" s="138"/>
      <c r="E196" s="138"/>
      <c r="F196" s="138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137"/>
      <c r="B197" s="138"/>
      <c r="C197" s="138"/>
      <c r="D197" s="138"/>
      <c r="E197" s="138"/>
      <c r="F197" s="138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137"/>
      <c r="B198" s="138"/>
      <c r="C198" s="138"/>
      <c r="D198" s="138"/>
      <c r="E198" s="138"/>
      <c r="F198" s="138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137"/>
      <c r="B199" s="138"/>
      <c r="C199" s="138"/>
      <c r="D199" s="138"/>
      <c r="E199" s="138"/>
      <c r="F199" s="138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137"/>
      <c r="B200" s="138"/>
      <c r="C200" s="138"/>
      <c r="D200" s="138"/>
      <c r="E200" s="138"/>
      <c r="F200" s="138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137"/>
      <c r="B201" s="138"/>
      <c r="C201" s="138"/>
      <c r="D201" s="138"/>
      <c r="E201" s="138"/>
      <c r="F201" s="138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137"/>
      <c r="B202" s="138"/>
      <c r="C202" s="138"/>
      <c r="D202" s="138"/>
      <c r="E202" s="138"/>
      <c r="F202" s="138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137"/>
      <c r="B203" s="138"/>
      <c r="C203" s="138"/>
      <c r="D203" s="138"/>
      <c r="E203" s="138"/>
      <c r="F203" s="138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137"/>
      <c r="B204" s="138"/>
      <c r="C204" s="138"/>
      <c r="D204" s="138"/>
      <c r="E204" s="138"/>
      <c r="F204" s="138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137"/>
      <c r="B205" s="138"/>
      <c r="C205" s="138"/>
      <c r="D205" s="138"/>
      <c r="E205" s="138"/>
      <c r="F205" s="138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137"/>
      <c r="B206" s="138"/>
      <c r="C206" s="138"/>
      <c r="D206" s="138"/>
      <c r="E206" s="138"/>
      <c r="F206" s="138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137"/>
      <c r="B207" s="138"/>
      <c r="C207" s="138"/>
      <c r="D207" s="138"/>
      <c r="E207" s="138"/>
      <c r="F207" s="138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137"/>
      <c r="B208" s="138"/>
      <c r="C208" s="138"/>
      <c r="D208" s="138"/>
      <c r="E208" s="138"/>
      <c r="F208" s="138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137"/>
      <c r="B209" s="138"/>
      <c r="C209" s="138"/>
      <c r="D209" s="138"/>
      <c r="E209" s="138"/>
      <c r="F209" s="138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137"/>
      <c r="B210" s="138"/>
      <c r="C210" s="138"/>
      <c r="D210" s="138"/>
      <c r="E210" s="138"/>
      <c r="F210" s="138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137"/>
      <c r="B211" s="138"/>
      <c r="C211" s="138"/>
      <c r="D211" s="138"/>
      <c r="E211" s="138"/>
      <c r="F211" s="138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137"/>
      <c r="B212" s="138"/>
      <c r="C212" s="138"/>
      <c r="D212" s="138"/>
      <c r="E212" s="138"/>
      <c r="F212" s="138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137"/>
      <c r="B213" s="138"/>
      <c r="C213" s="138"/>
      <c r="D213" s="138"/>
      <c r="E213" s="138"/>
      <c r="F213" s="138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137"/>
      <c r="B214" s="138"/>
      <c r="C214" s="138"/>
      <c r="D214" s="138"/>
      <c r="E214" s="138"/>
      <c r="F214" s="138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137"/>
      <c r="B215" s="138"/>
      <c r="C215" s="138"/>
      <c r="D215" s="138"/>
      <c r="E215" s="138"/>
      <c r="F215" s="138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137"/>
      <c r="B216" s="138"/>
      <c r="C216" s="138"/>
      <c r="D216" s="138"/>
      <c r="E216" s="138"/>
      <c r="F216" s="138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137"/>
      <c r="B217" s="138"/>
      <c r="C217" s="138"/>
      <c r="D217" s="138"/>
      <c r="E217" s="138"/>
      <c r="F217" s="138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137"/>
      <c r="B218" s="138"/>
      <c r="C218" s="138"/>
      <c r="D218" s="138"/>
      <c r="E218" s="138"/>
      <c r="F218" s="138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137"/>
      <c r="B219" s="138"/>
      <c r="C219" s="138"/>
      <c r="D219" s="138"/>
      <c r="E219" s="138"/>
      <c r="F219" s="138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137"/>
      <c r="B220" s="138"/>
      <c r="C220" s="138"/>
      <c r="D220" s="138"/>
      <c r="E220" s="138"/>
      <c r="F220" s="138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137"/>
      <c r="B221" s="138"/>
      <c r="C221" s="138"/>
      <c r="D221" s="138"/>
      <c r="E221" s="138"/>
      <c r="F221" s="138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137"/>
      <c r="B222" s="138"/>
      <c r="C222" s="138"/>
      <c r="D222" s="138"/>
      <c r="E222" s="138"/>
      <c r="F222" s="138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137"/>
      <c r="B223" s="138"/>
      <c r="C223" s="138"/>
      <c r="D223" s="138"/>
      <c r="E223" s="138"/>
      <c r="F223" s="138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137"/>
      <c r="B224" s="138"/>
      <c r="C224" s="138"/>
      <c r="D224" s="138"/>
      <c r="E224" s="138"/>
      <c r="F224" s="138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137"/>
      <c r="B225" s="138"/>
      <c r="C225" s="138"/>
      <c r="D225" s="138"/>
      <c r="E225" s="138"/>
      <c r="F225" s="138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137"/>
      <c r="B226" s="138"/>
      <c r="C226" s="138"/>
      <c r="D226" s="138"/>
      <c r="E226" s="138"/>
      <c r="F226" s="138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137"/>
      <c r="B227" s="138"/>
      <c r="C227" s="138"/>
      <c r="D227" s="138"/>
      <c r="E227" s="138"/>
      <c r="F227" s="138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137"/>
      <c r="B228" s="138"/>
      <c r="C228" s="138"/>
      <c r="D228" s="138"/>
      <c r="E228" s="138"/>
      <c r="F228" s="138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137"/>
      <c r="B229" s="138"/>
      <c r="C229" s="138"/>
      <c r="D229" s="138"/>
      <c r="E229" s="138"/>
      <c r="F229" s="138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137"/>
      <c r="B230" s="138"/>
      <c r="C230" s="138"/>
      <c r="D230" s="138"/>
      <c r="E230" s="138"/>
      <c r="F230" s="138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137"/>
      <c r="B231" s="138"/>
      <c r="C231" s="138"/>
      <c r="D231" s="138"/>
      <c r="E231" s="138"/>
      <c r="F231" s="138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137"/>
      <c r="B232" s="138"/>
      <c r="C232" s="138"/>
      <c r="D232" s="138"/>
      <c r="E232" s="138"/>
      <c r="F232" s="138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137"/>
      <c r="B233" s="138"/>
      <c r="C233" s="138"/>
      <c r="D233" s="138"/>
      <c r="E233" s="138"/>
      <c r="F233" s="138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137"/>
      <c r="B234" s="138"/>
      <c r="C234" s="138"/>
      <c r="D234" s="138"/>
      <c r="E234" s="138"/>
      <c r="F234" s="138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137"/>
      <c r="B235" s="138"/>
      <c r="C235" s="138"/>
      <c r="D235" s="138"/>
      <c r="E235" s="138"/>
      <c r="F235" s="138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137"/>
      <c r="B236" s="138"/>
      <c r="C236" s="138"/>
      <c r="D236" s="138"/>
      <c r="E236" s="138"/>
      <c r="F236" s="138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137"/>
      <c r="B237" s="138"/>
      <c r="C237" s="138"/>
      <c r="D237" s="138"/>
      <c r="E237" s="138"/>
      <c r="F237" s="138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137"/>
      <c r="B238" s="138"/>
      <c r="C238" s="138"/>
      <c r="D238" s="138"/>
      <c r="E238" s="138"/>
      <c r="F238" s="138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137"/>
      <c r="B239" s="138"/>
      <c r="C239" s="138"/>
      <c r="D239" s="138"/>
      <c r="E239" s="138"/>
      <c r="F239" s="138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137"/>
      <c r="B240" s="138"/>
      <c r="C240" s="138"/>
      <c r="D240" s="138"/>
      <c r="E240" s="138"/>
      <c r="F240" s="138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137"/>
      <c r="B241" s="138"/>
      <c r="C241" s="138"/>
      <c r="D241" s="138"/>
      <c r="E241" s="138"/>
      <c r="F241" s="138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137"/>
      <c r="B242" s="138"/>
      <c r="C242" s="138"/>
      <c r="D242" s="138"/>
      <c r="E242" s="138"/>
      <c r="F242" s="138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137"/>
      <c r="B243" s="138"/>
      <c r="C243" s="138"/>
      <c r="D243" s="138"/>
      <c r="E243" s="138"/>
      <c r="F243" s="138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137"/>
      <c r="B244" s="138"/>
      <c r="C244" s="138"/>
      <c r="D244" s="138"/>
      <c r="E244" s="138"/>
      <c r="F244" s="138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137"/>
      <c r="B245" s="138"/>
      <c r="C245" s="138"/>
      <c r="D245" s="138"/>
      <c r="E245" s="138"/>
      <c r="F245" s="138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137"/>
      <c r="B246" s="138"/>
      <c r="C246" s="138"/>
      <c r="D246" s="138"/>
      <c r="E246" s="138"/>
      <c r="F246" s="138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137"/>
      <c r="B247" s="138"/>
      <c r="C247" s="138"/>
      <c r="D247" s="138"/>
      <c r="E247" s="138"/>
      <c r="F247" s="138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137"/>
      <c r="B248" s="138"/>
      <c r="C248" s="138"/>
      <c r="D248" s="138"/>
      <c r="E248" s="138"/>
      <c r="F248" s="138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137"/>
      <c r="B249" s="138"/>
      <c r="C249" s="138"/>
      <c r="D249" s="138"/>
      <c r="E249" s="138"/>
      <c r="F249" s="138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137"/>
      <c r="B250" s="138"/>
      <c r="C250" s="138"/>
      <c r="D250" s="138"/>
      <c r="E250" s="138"/>
      <c r="F250" s="138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137"/>
      <c r="B251" s="138"/>
      <c r="C251" s="138"/>
      <c r="D251" s="138"/>
      <c r="E251" s="138"/>
      <c r="F251" s="138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137"/>
      <c r="B252" s="138"/>
      <c r="C252" s="138"/>
      <c r="D252" s="138"/>
      <c r="E252" s="138"/>
      <c r="F252" s="138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137"/>
      <c r="B253" s="138"/>
      <c r="C253" s="138"/>
      <c r="D253" s="138"/>
      <c r="E253" s="138"/>
      <c r="F253" s="138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137"/>
      <c r="B254" s="138"/>
      <c r="C254" s="138"/>
      <c r="D254" s="138"/>
      <c r="E254" s="138"/>
      <c r="F254" s="138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137"/>
      <c r="B255" s="138"/>
      <c r="C255" s="138"/>
      <c r="D255" s="138"/>
      <c r="E255" s="138"/>
      <c r="F255" s="138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137"/>
      <c r="B256" s="138"/>
      <c r="C256" s="138"/>
      <c r="D256" s="138"/>
      <c r="E256" s="138"/>
      <c r="F256" s="138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137"/>
      <c r="B257" s="138"/>
      <c r="C257" s="138"/>
      <c r="D257" s="138"/>
      <c r="E257" s="138"/>
      <c r="F257" s="138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137"/>
      <c r="B258" s="138"/>
      <c r="C258" s="138"/>
      <c r="D258" s="138"/>
      <c r="E258" s="138"/>
      <c r="F258" s="138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137"/>
      <c r="B259" s="138"/>
      <c r="C259" s="138"/>
      <c r="D259" s="138"/>
      <c r="E259" s="138"/>
      <c r="F259" s="138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137"/>
      <c r="B260" s="138"/>
      <c r="C260" s="138"/>
      <c r="D260" s="138"/>
      <c r="E260" s="138"/>
      <c r="F260" s="138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137"/>
      <c r="B261" s="138"/>
      <c r="C261" s="138"/>
      <c r="D261" s="138"/>
      <c r="E261" s="138"/>
      <c r="F261" s="138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137"/>
      <c r="B262" s="138"/>
      <c r="C262" s="138"/>
      <c r="D262" s="138"/>
      <c r="E262" s="138"/>
      <c r="F262" s="138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137"/>
      <c r="B263" s="138"/>
      <c r="C263" s="138"/>
      <c r="D263" s="138"/>
      <c r="E263" s="138"/>
      <c r="F263" s="138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137"/>
      <c r="B264" s="138"/>
      <c r="C264" s="138"/>
      <c r="D264" s="138"/>
      <c r="E264" s="138"/>
      <c r="F264" s="138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137"/>
      <c r="B265" s="138"/>
      <c r="C265" s="138"/>
      <c r="D265" s="138"/>
      <c r="E265" s="138"/>
      <c r="F265" s="138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137"/>
      <c r="B266" s="138"/>
      <c r="C266" s="138"/>
      <c r="D266" s="138"/>
      <c r="E266" s="138"/>
      <c r="F266" s="138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137"/>
      <c r="B267" s="138"/>
      <c r="C267" s="138"/>
      <c r="D267" s="138"/>
      <c r="E267" s="138"/>
      <c r="F267" s="138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137"/>
      <c r="B268" s="138"/>
      <c r="C268" s="138"/>
      <c r="D268" s="138"/>
      <c r="E268" s="138"/>
      <c r="F268" s="138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137"/>
      <c r="B269" s="138"/>
      <c r="C269" s="138"/>
      <c r="D269" s="138"/>
      <c r="E269" s="138"/>
      <c r="F269" s="138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137"/>
      <c r="B270" s="138"/>
      <c r="C270" s="138"/>
      <c r="D270" s="138"/>
      <c r="E270" s="138"/>
      <c r="F270" s="138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137"/>
      <c r="B271" s="138"/>
      <c r="C271" s="138"/>
      <c r="D271" s="138"/>
      <c r="E271" s="138"/>
      <c r="F271" s="138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137"/>
      <c r="B272" s="138"/>
      <c r="C272" s="138"/>
      <c r="D272" s="138"/>
      <c r="E272" s="138"/>
      <c r="F272" s="138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137"/>
      <c r="B273" s="138"/>
      <c r="C273" s="138"/>
      <c r="D273" s="138"/>
      <c r="E273" s="138"/>
      <c r="F273" s="138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137"/>
      <c r="B274" s="138"/>
      <c r="C274" s="138"/>
      <c r="D274" s="138"/>
      <c r="E274" s="138"/>
      <c r="F274" s="138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137"/>
      <c r="B275" s="138"/>
      <c r="C275" s="138"/>
      <c r="D275" s="138"/>
      <c r="E275" s="138"/>
      <c r="F275" s="138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137"/>
      <c r="B276" s="138"/>
      <c r="C276" s="138"/>
      <c r="D276" s="138"/>
      <c r="E276" s="138"/>
      <c r="F276" s="138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137"/>
      <c r="B277" s="138"/>
      <c r="C277" s="138"/>
      <c r="D277" s="138"/>
      <c r="E277" s="138"/>
      <c r="F277" s="138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137"/>
      <c r="B278" s="138"/>
      <c r="C278" s="138"/>
      <c r="D278" s="138"/>
      <c r="E278" s="138"/>
      <c r="F278" s="138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137"/>
      <c r="B279" s="138"/>
      <c r="C279" s="138"/>
      <c r="D279" s="138"/>
      <c r="E279" s="138"/>
      <c r="F279" s="138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137"/>
      <c r="B280" s="138"/>
      <c r="C280" s="138"/>
      <c r="D280" s="138"/>
      <c r="E280" s="138"/>
      <c r="F280" s="138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137"/>
      <c r="B281" s="138"/>
      <c r="C281" s="138"/>
      <c r="D281" s="138"/>
      <c r="E281" s="138"/>
      <c r="F281" s="138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137"/>
      <c r="B282" s="138"/>
      <c r="C282" s="138"/>
      <c r="D282" s="138"/>
      <c r="E282" s="138"/>
      <c r="F282" s="138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137"/>
      <c r="B283" s="138"/>
      <c r="C283" s="138"/>
      <c r="D283" s="138"/>
      <c r="E283" s="138"/>
      <c r="F283" s="138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137"/>
      <c r="B284" s="138"/>
      <c r="C284" s="138"/>
      <c r="D284" s="138"/>
      <c r="E284" s="138"/>
      <c r="F284" s="138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137"/>
      <c r="B285" s="138"/>
      <c r="C285" s="138"/>
      <c r="D285" s="138"/>
      <c r="E285" s="138"/>
      <c r="F285" s="138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137"/>
      <c r="B286" s="138"/>
      <c r="C286" s="138"/>
      <c r="D286" s="138"/>
      <c r="E286" s="138"/>
      <c r="F286" s="138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137"/>
      <c r="B287" s="138"/>
      <c r="C287" s="138"/>
      <c r="D287" s="138"/>
      <c r="E287" s="138"/>
      <c r="F287" s="138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137"/>
      <c r="B288" s="138"/>
      <c r="C288" s="138"/>
      <c r="D288" s="138"/>
      <c r="E288" s="138"/>
      <c r="F288" s="138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137"/>
      <c r="B289" s="138"/>
      <c r="C289" s="138"/>
      <c r="D289" s="138"/>
      <c r="E289" s="138"/>
      <c r="F289" s="138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137"/>
      <c r="B290" s="138"/>
      <c r="C290" s="138"/>
      <c r="D290" s="138"/>
      <c r="E290" s="138"/>
      <c r="F290" s="138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137"/>
      <c r="B291" s="138"/>
      <c r="C291" s="138"/>
      <c r="D291" s="138"/>
      <c r="E291" s="138"/>
      <c r="F291" s="138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137"/>
      <c r="B292" s="138"/>
      <c r="C292" s="138"/>
      <c r="D292" s="138"/>
      <c r="E292" s="138"/>
      <c r="F292" s="138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137"/>
      <c r="B293" s="138"/>
      <c r="C293" s="138"/>
      <c r="D293" s="138"/>
      <c r="E293" s="138"/>
      <c r="F293" s="138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137"/>
      <c r="B294" s="138"/>
      <c r="C294" s="138"/>
      <c r="D294" s="138"/>
      <c r="E294" s="138"/>
      <c r="F294" s="138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137"/>
      <c r="B295" s="138"/>
      <c r="C295" s="138"/>
      <c r="D295" s="138"/>
      <c r="E295" s="138"/>
      <c r="F295" s="138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137"/>
      <c r="B296" s="138"/>
      <c r="C296" s="138"/>
      <c r="D296" s="138"/>
      <c r="E296" s="138"/>
      <c r="F296" s="138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137"/>
      <c r="B297" s="138"/>
      <c r="C297" s="138"/>
      <c r="D297" s="138"/>
      <c r="E297" s="138"/>
      <c r="F297" s="138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137"/>
      <c r="B298" s="138"/>
      <c r="C298" s="138"/>
      <c r="D298" s="138"/>
      <c r="E298" s="138"/>
      <c r="F298" s="138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137"/>
      <c r="B299" s="138"/>
      <c r="C299" s="138"/>
      <c r="D299" s="138"/>
      <c r="E299" s="138"/>
      <c r="F299" s="138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137"/>
      <c r="B300" s="138"/>
      <c r="C300" s="138"/>
      <c r="D300" s="138"/>
      <c r="E300" s="138"/>
      <c r="F300" s="138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137"/>
      <c r="B301" s="138"/>
      <c r="C301" s="138"/>
      <c r="D301" s="138"/>
      <c r="E301" s="138"/>
      <c r="F301" s="138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137"/>
      <c r="B302" s="138"/>
      <c r="C302" s="138"/>
      <c r="D302" s="138"/>
      <c r="E302" s="138"/>
      <c r="F302" s="138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137"/>
      <c r="B303" s="138"/>
      <c r="C303" s="138"/>
      <c r="D303" s="138"/>
      <c r="E303" s="138"/>
      <c r="F303" s="138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137"/>
      <c r="B304" s="138"/>
      <c r="C304" s="138"/>
      <c r="D304" s="138"/>
      <c r="E304" s="138"/>
      <c r="F304" s="138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137"/>
      <c r="B305" s="138"/>
      <c r="C305" s="138"/>
      <c r="D305" s="138"/>
      <c r="E305" s="138"/>
      <c r="F305" s="138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137"/>
      <c r="B306" s="138"/>
      <c r="C306" s="138"/>
      <c r="D306" s="138"/>
      <c r="E306" s="138"/>
      <c r="F306" s="138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137"/>
      <c r="B307" s="138"/>
      <c r="C307" s="138"/>
      <c r="D307" s="138"/>
      <c r="E307" s="138"/>
      <c r="F307" s="138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137"/>
      <c r="B308" s="138"/>
      <c r="C308" s="138"/>
      <c r="D308" s="138"/>
      <c r="E308" s="138"/>
      <c r="F308" s="138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137"/>
      <c r="B309" s="138"/>
      <c r="C309" s="138"/>
      <c r="D309" s="138"/>
      <c r="E309" s="138"/>
      <c r="F309" s="138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137"/>
      <c r="B310" s="138"/>
      <c r="C310" s="138"/>
      <c r="D310" s="138"/>
      <c r="E310" s="138"/>
      <c r="F310" s="138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137"/>
      <c r="B311" s="138"/>
      <c r="C311" s="138"/>
      <c r="D311" s="138"/>
      <c r="E311" s="138"/>
      <c r="F311" s="138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137"/>
      <c r="B312" s="138"/>
      <c r="C312" s="138"/>
      <c r="D312" s="138"/>
      <c r="E312" s="138"/>
      <c r="F312" s="138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137"/>
      <c r="B313" s="138"/>
      <c r="C313" s="138"/>
      <c r="D313" s="138"/>
      <c r="E313" s="138"/>
      <c r="F313" s="138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137"/>
      <c r="B314" s="138"/>
      <c r="C314" s="138"/>
      <c r="D314" s="138"/>
      <c r="E314" s="138"/>
      <c r="F314" s="138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137"/>
      <c r="B315" s="138"/>
      <c r="C315" s="138"/>
      <c r="D315" s="138"/>
      <c r="E315" s="138"/>
      <c r="F315" s="138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137"/>
      <c r="B316" s="138"/>
      <c r="C316" s="138"/>
      <c r="D316" s="138"/>
      <c r="E316" s="138"/>
      <c r="F316" s="138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137"/>
      <c r="B317" s="138"/>
      <c r="C317" s="138"/>
      <c r="D317" s="138"/>
      <c r="E317" s="138"/>
      <c r="F317" s="138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137"/>
      <c r="B318" s="138"/>
      <c r="C318" s="138"/>
      <c r="D318" s="138"/>
      <c r="E318" s="138"/>
      <c r="F318" s="138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137"/>
      <c r="B319" s="138"/>
      <c r="C319" s="138"/>
      <c r="D319" s="138"/>
      <c r="E319" s="138"/>
      <c r="F319" s="138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137"/>
      <c r="B320" s="138"/>
      <c r="C320" s="138"/>
      <c r="D320" s="138"/>
      <c r="E320" s="138"/>
      <c r="F320" s="138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137"/>
      <c r="B321" s="138"/>
      <c r="C321" s="138"/>
      <c r="D321" s="138"/>
      <c r="E321" s="138"/>
      <c r="F321" s="138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137"/>
      <c r="B322" s="138"/>
      <c r="C322" s="138"/>
      <c r="D322" s="138"/>
      <c r="E322" s="138"/>
      <c r="F322" s="138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137"/>
      <c r="B323" s="138"/>
      <c r="C323" s="138"/>
      <c r="D323" s="138"/>
      <c r="E323" s="138"/>
      <c r="F323" s="138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137"/>
      <c r="B324" s="138"/>
      <c r="C324" s="138"/>
      <c r="D324" s="138"/>
      <c r="E324" s="138"/>
      <c r="F324" s="138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137"/>
      <c r="B325" s="138"/>
      <c r="C325" s="138"/>
      <c r="D325" s="138"/>
      <c r="E325" s="138"/>
      <c r="F325" s="138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137"/>
      <c r="B326" s="138"/>
      <c r="C326" s="138"/>
      <c r="D326" s="138"/>
      <c r="E326" s="138"/>
      <c r="F326" s="138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137"/>
      <c r="B327" s="138"/>
      <c r="C327" s="138"/>
      <c r="D327" s="138"/>
      <c r="E327" s="138"/>
      <c r="F327" s="138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137"/>
      <c r="B328" s="138"/>
      <c r="C328" s="138"/>
      <c r="D328" s="138"/>
      <c r="E328" s="138"/>
      <c r="F328" s="138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137"/>
      <c r="B329" s="138"/>
      <c r="C329" s="138"/>
      <c r="D329" s="138"/>
      <c r="E329" s="138"/>
      <c r="F329" s="138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137"/>
      <c r="B330" s="138"/>
      <c r="C330" s="138"/>
      <c r="D330" s="138"/>
      <c r="E330" s="138"/>
      <c r="F330" s="138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137"/>
      <c r="B331" s="138"/>
      <c r="C331" s="138"/>
      <c r="D331" s="138"/>
      <c r="E331" s="138"/>
      <c r="F331" s="138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137"/>
      <c r="B332" s="138"/>
      <c r="C332" s="138"/>
      <c r="D332" s="138"/>
      <c r="E332" s="138"/>
      <c r="F332" s="138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137"/>
      <c r="B333" s="138"/>
      <c r="C333" s="138"/>
      <c r="D333" s="138"/>
      <c r="E333" s="138"/>
      <c r="F333" s="138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137"/>
      <c r="B334" s="138"/>
      <c r="C334" s="138"/>
      <c r="D334" s="138"/>
      <c r="E334" s="138"/>
      <c r="F334" s="138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137"/>
      <c r="B335" s="138"/>
      <c r="C335" s="138"/>
      <c r="D335" s="138"/>
      <c r="E335" s="138"/>
      <c r="F335" s="138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137"/>
      <c r="B336" s="138"/>
      <c r="C336" s="138"/>
      <c r="D336" s="138"/>
      <c r="E336" s="138"/>
      <c r="F336" s="138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137"/>
      <c r="B337" s="138"/>
      <c r="C337" s="138"/>
      <c r="D337" s="138"/>
      <c r="E337" s="138"/>
      <c r="F337" s="138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137"/>
      <c r="B338" s="138"/>
      <c r="C338" s="138"/>
      <c r="D338" s="138"/>
      <c r="E338" s="138"/>
      <c r="F338" s="138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137"/>
      <c r="B339" s="138"/>
      <c r="C339" s="138"/>
      <c r="D339" s="138"/>
      <c r="E339" s="138"/>
      <c r="F339" s="138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137"/>
      <c r="B340" s="138"/>
      <c r="C340" s="138"/>
      <c r="D340" s="138"/>
      <c r="E340" s="138"/>
      <c r="F340" s="138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137"/>
      <c r="B341" s="138"/>
      <c r="C341" s="138"/>
      <c r="D341" s="138"/>
      <c r="E341" s="138"/>
      <c r="F341" s="138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137"/>
      <c r="B342" s="138"/>
      <c r="C342" s="138"/>
      <c r="D342" s="138"/>
      <c r="E342" s="138"/>
      <c r="F342" s="138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137"/>
      <c r="B343" s="138"/>
      <c r="C343" s="138"/>
      <c r="D343" s="138"/>
      <c r="E343" s="138"/>
      <c r="F343" s="138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137"/>
      <c r="B344" s="138"/>
      <c r="C344" s="138"/>
      <c r="D344" s="138"/>
      <c r="E344" s="138"/>
      <c r="F344" s="138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137"/>
      <c r="B345" s="138"/>
      <c r="C345" s="138"/>
      <c r="D345" s="138"/>
      <c r="E345" s="138"/>
      <c r="F345" s="138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137"/>
      <c r="B346" s="138"/>
      <c r="C346" s="138"/>
      <c r="D346" s="138"/>
      <c r="E346" s="138"/>
      <c r="F346" s="138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137"/>
      <c r="B347" s="138"/>
      <c r="C347" s="138"/>
      <c r="D347" s="138"/>
      <c r="E347" s="138"/>
      <c r="F347" s="138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137"/>
      <c r="B348" s="138"/>
      <c r="C348" s="138"/>
      <c r="D348" s="138"/>
      <c r="E348" s="138"/>
      <c r="F348" s="138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137"/>
      <c r="B349" s="138"/>
      <c r="C349" s="138"/>
      <c r="D349" s="138"/>
      <c r="E349" s="138"/>
      <c r="F349" s="138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137"/>
      <c r="B350" s="138"/>
      <c r="C350" s="138"/>
      <c r="D350" s="138"/>
      <c r="E350" s="138"/>
      <c r="F350" s="138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137"/>
      <c r="B351" s="138"/>
      <c r="C351" s="138"/>
      <c r="D351" s="138"/>
      <c r="E351" s="138"/>
      <c r="F351" s="138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137"/>
      <c r="B352" s="138"/>
      <c r="C352" s="138"/>
      <c r="D352" s="138"/>
      <c r="E352" s="138"/>
      <c r="F352" s="138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137"/>
      <c r="B353" s="138"/>
      <c r="C353" s="138"/>
      <c r="D353" s="138"/>
      <c r="E353" s="138"/>
      <c r="F353" s="138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137"/>
      <c r="B354" s="138"/>
      <c r="C354" s="138"/>
      <c r="D354" s="138"/>
      <c r="E354" s="138"/>
      <c r="F354" s="138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137"/>
      <c r="B355" s="138"/>
      <c r="C355" s="138"/>
      <c r="D355" s="138"/>
      <c r="E355" s="138"/>
      <c r="F355" s="138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137"/>
      <c r="B356" s="138"/>
      <c r="C356" s="138"/>
      <c r="D356" s="138"/>
      <c r="E356" s="138"/>
      <c r="F356" s="138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137"/>
      <c r="B357" s="138"/>
      <c r="C357" s="138"/>
      <c r="D357" s="138"/>
      <c r="E357" s="138"/>
      <c r="F357" s="138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137"/>
      <c r="B358" s="138"/>
      <c r="C358" s="138"/>
      <c r="D358" s="138"/>
      <c r="E358" s="138"/>
      <c r="F358" s="138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137"/>
      <c r="B359" s="138"/>
      <c r="C359" s="138"/>
      <c r="D359" s="138"/>
      <c r="E359" s="138"/>
      <c r="F359" s="138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137"/>
      <c r="B360" s="138"/>
      <c r="C360" s="138"/>
      <c r="D360" s="138"/>
      <c r="E360" s="138"/>
      <c r="F360" s="138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137"/>
      <c r="B361" s="138"/>
      <c r="C361" s="138"/>
      <c r="D361" s="138"/>
      <c r="E361" s="138"/>
      <c r="F361" s="138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137"/>
      <c r="B362" s="138"/>
      <c r="C362" s="138"/>
      <c r="D362" s="138"/>
      <c r="E362" s="138"/>
      <c r="F362" s="138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137"/>
      <c r="B363" s="138"/>
      <c r="C363" s="138"/>
      <c r="D363" s="138"/>
      <c r="E363" s="138"/>
      <c r="F363" s="138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137"/>
      <c r="B364" s="138"/>
      <c r="C364" s="138"/>
      <c r="D364" s="138"/>
      <c r="E364" s="138"/>
      <c r="F364" s="138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137"/>
      <c r="B365" s="138"/>
      <c r="C365" s="138"/>
      <c r="D365" s="138"/>
      <c r="E365" s="138"/>
      <c r="F365" s="138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137"/>
      <c r="B366" s="138"/>
      <c r="C366" s="138"/>
      <c r="D366" s="138"/>
      <c r="E366" s="138"/>
      <c r="F366" s="138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137"/>
      <c r="B367" s="138"/>
      <c r="C367" s="138"/>
      <c r="D367" s="138"/>
      <c r="E367" s="138"/>
      <c r="F367" s="138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137"/>
      <c r="B368" s="138"/>
      <c r="C368" s="138"/>
      <c r="D368" s="138"/>
      <c r="E368" s="138"/>
      <c r="F368" s="138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137"/>
      <c r="B369" s="138"/>
      <c r="C369" s="138"/>
      <c r="D369" s="138"/>
      <c r="E369" s="138"/>
      <c r="F369" s="138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137"/>
      <c r="B370" s="138"/>
      <c r="C370" s="138"/>
      <c r="D370" s="138"/>
      <c r="E370" s="138"/>
      <c r="F370" s="138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137"/>
      <c r="B371" s="138"/>
      <c r="C371" s="138"/>
      <c r="D371" s="138"/>
      <c r="E371" s="138"/>
      <c r="F371" s="138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137"/>
      <c r="B372" s="138"/>
      <c r="C372" s="138"/>
      <c r="D372" s="138"/>
      <c r="E372" s="138"/>
      <c r="F372" s="138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137"/>
      <c r="B373" s="138"/>
      <c r="C373" s="138"/>
      <c r="D373" s="138"/>
      <c r="E373" s="138"/>
      <c r="F373" s="138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137"/>
      <c r="B374" s="138"/>
      <c r="C374" s="138"/>
      <c r="D374" s="138"/>
      <c r="E374" s="138"/>
      <c r="F374" s="138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137"/>
      <c r="B375" s="138"/>
      <c r="C375" s="138"/>
      <c r="D375" s="138"/>
      <c r="E375" s="138"/>
      <c r="F375" s="138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137"/>
      <c r="B376" s="138"/>
      <c r="C376" s="138"/>
      <c r="D376" s="138"/>
      <c r="E376" s="138"/>
      <c r="F376" s="138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137"/>
      <c r="B377" s="138"/>
      <c r="C377" s="138"/>
      <c r="D377" s="138"/>
      <c r="E377" s="138"/>
      <c r="F377" s="138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137"/>
      <c r="B378" s="138"/>
      <c r="C378" s="138"/>
      <c r="D378" s="138"/>
      <c r="E378" s="138"/>
      <c r="F378" s="138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137"/>
      <c r="B379" s="138"/>
      <c r="C379" s="138"/>
      <c r="D379" s="138"/>
      <c r="E379" s="138"/>
      <c r="F379" s="138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137"/>
      <c r="B380" s="138"/>
      <c r="C380" s="138"/>
      <c r="D380" s="138"/>
      <c r="E380" s="138"/>
      <c r="F380" s="138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137"/>
      <c r="B381" s="138"/>
      <c r="C381" s="138"/>
      <c r="D381" s="138"/>
      <c r="E381" s="138"/>
      <c r="F381" s="138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137"/>
      <c r="B382" s="138"/>
      <c r="C382" s="138"/>
      <c r="D382" s="138"/>
      <c r="E382" s="138"/>
      <c r="F382" s="138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137"/>
      <c r="B383" s="138"/>
      <c r="C383" s="138"/>
      <c r="D383" s="138"/>
      <c r="E383" s="138"/>
      <c r="F383" s="138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137"/>
      <c r="B384" s="138"/>
      <c r="C384" s="138"/>
      <c r="D384" s="138"/>
      <c r="E384" s="138"/>
      <c r="F384" s="138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137"/>
      <c r="B385" s="138"/>
      <c r="C385" s="138"/>
      <c r="D385" s="138"/>
      <c r="E385" s="138"/>
      <c r="F385" s="138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137"/>
      <c r="B386" s="138"/>
      <c r="C386" s="138"/>
      <c r="D386" s="138"/>
      <c r="E386" s="138"/>
      <c r="F386" s="138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137"/>
      <c r="B387" s="138"/>
      <c r="C387" s="138"/>
      <c r="D387" s="138"/>
      <c r="E387" s="138"/>
      <c r="F387" s="138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137"/>
      <c r="B388" s="138"/>
      <c r="C388" s="138"/>
      <c r="D388" s="138"/>
      <c r="E388" s="138"/>
      <c r="F388" s="138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137"/>
      <c r="B389" s="138"/>
      <c r="C389" s="138"/>
      <c r="D389" s="138"/>
      <c r="E389" s="138"/>
      <c r="F389" s="138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137"/>
      <c r="B390" s="138"/>
      <c r="C390" s="138"/>
      <c r="D390" s="138"/>
      <c r="E390" s="138"/>
      <c r="F390" s="138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137"/>
      <c r="B391" s="138"/>
      <c r="C391" s="138"/>
      <c r="D391" s="138"/>
      <c r="E391" s="138"/>
      <c r="F391" s="138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137"/>
      <c r="B392" s="138"/>
      <c r="C392" s="138"/>
      <c r="D392" s="138"/>
      <c r="E392" s="138"/>
      <c r="F392" s="138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137"/>
      <c r="B393" s="138"/>
      <c r="C393" s="138"/>
      <c r="D393" s="138"/>
      <c r="E393" s="138"/>
      <c r="F393" s="138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137"/>
      <c r="B394" s="138"/>
      <c r="C394" s="138"/>
      <c r="D394" s="138"/>
      <c r="E394" s="138"/>
      <c r="F394" s="138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137"/>
      <c r="B395" s="138"/>
      <c r="C395" s="138"/>
      <c r="D395" s="138"/>
      <c r="E395" s="138"/>
      <c r="F395" s="138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137"/>
      <c r="B396" s="138"/>
      <c r="C396" s="138"/>
      <c r="D396" s="138"/>
      <c r="E396" s="138"/>
      <c r="F396" s="138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137"/>
      <c r="B397" s="138"/>
      <c r="C397" s="138"/>
      <c r="D397" s="138"/>
      <c r="E397" s="138"/>
      <c r="F397" s="138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137"/>
      <c r="B398" s="138"/>
      <c r="C398" s="138"/>
      <c r="D398" s="138"/>
      <c r="E398" s="138"/>
      <c r="F398" s="138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137"/>
      <c r="B399" s="138"/>
      <c r="C399" s="138"/>
      <c r="D399" s="138"/>
      <c r="E399" s="138"/>
      <c r="F399" s="138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137"/>
      <c r="B400" s="138"/>
      <c r="C400" s="138"/>
      <c r="D400" s="138"/>
      <c r="E400" s="138"/>
      <c r="F400" s="138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137"/>
      <c r="B401" s="138"/>
      <c r="C401" s="138"/>
      <c r="D401" s="138"/>
      <c r="E401" s="138"/>
      <c r="F401" s="138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137"/>
      <c r="B402" s="138"/>
      <c r="C402" s="138"/>
      <c r="D402" s="138"/>
      <c r="E402" s="138"/>
      <c r="F402" s="138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137"/>
      <c r="B403" s="138"/>
      <c r="C403" s="138"/>
      <c r="D403" s="138"/>
      <c r="E403" s="138"/>
      <c r="F403" s="138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137"/>
      <c r="B404" s="138"/>
      <c r="C404" s="138"/>
      <c r="D404" s="138"/>
      <c r="E404" s="138"/>
      <c r="F404" s="138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137"/>
      <c r="B405" s="138"/>
      <c r="C405" s="138"/>
      <c r="D405" s="138"/>
      <c r="E405" s="138"/>
      <c r="F405" s="138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137"/>
      <c r="B406" s="138"/>
      <c r="C406" s="138"/>
      <c r="D406" s="138"/>
      <c r="E406" s="138"/>
      <c r="F406" s="138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137"/>
      <c r="B407" s="138"/>
      <c r="C407" s="138"/>
      <c r="D407" s="138"/>
      <c r="E407" s="138"/>
      <c r="F407" s="138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137"/>
      <c r="B408" s="138"/>
      <c r="C408" s="138"/>
      <c r="D408" s="138"/>
      <c r="E408" s="138"/>
      <c r="F408" s="138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137"/>
      <c r="B409" s="138"/>
      <c r="C409" s="138"/>
      <c r="D409" s="138"/>
      <c r="E409" s="138"/>
      <c r="F409" s="138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137"/>
      <c r="B410" s="138"/>
      <c r="C410" s="138"/>
      <c r="D410" s="138"/>
      <c r="E410" s="138"/>
      <c r="F410" s="138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137"/>
      <c r="B411" s="138"/>
      <c r="C411" s="138"/>
      <c r="D411" s="138"/>
      <c r="E411" s="138"/>
      <c r="F411" s="138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137"/>
      <c r="B412" s="138"/>
      <c r="C412" s="138"/>
      <c r="D412" s="138"/>
      <c r="E412" s="138"/>
      <c r="F412" s="138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137"/>
      <c r="B413" s="138"/>
      <c r="C413" s="138"/>
      <c r="D413" s="138"/>
      <c r="E413" s="138"/>
      <c r="F413" s="138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137"/>
      <c r="B414" s="138"/>
      <c r="C414" s="138"/>
      <c r="D414" s="138"/>
      <c r="E414" s="138"/>
      <c r="F414" s="138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137"/>
      <c r="B415" s="138"/>
      <c r="C415" s="138"/>
      <c r="D415" s="138"/>
      <c r="E415" s="138"/>
      <c r="F415" s="138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137"/>
      <c r="B416" s="138"/>
      <c r="C416" s="138"/>
      <c r="D416" s="138"/>
      <c r="E416" s="138"/>
      <c r="F416" s="138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137"/>
      <c r="B417" s="138"/>
      <c r="C417" s="138"/>
      <c r="D417" s="138"/>
      <c r="E417" s="138"/>
      <c r="F417" s="138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137"/>
      <c r="B418" s="138"/>
      <c r="C418" s="138"/>
      <c r="D418" s="138"/>
      <c r="E418" s="138"/>
      <c r="F418" s="138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137"/>
      <c r="B419" s="138"/>
      <c r="C419" s="138"/>
      <c r="D419" s="138"/>
      <c r="E419" s="138"/>
      <c r="F419" s="138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137"/>
      <c r="B420" s="138"/>
      <c r="C420" s="138"/>
      <c r="D420" s="138"/>
      <c r="E420" s="138"/>
      <c r="F420" s="138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137"/>
      <c r="B421" s="138"/>
      <c r="C421" s="138"/>
      <c r="D421" s="138"/>
      <c r="E421" s="138"/>
      <c r="F421" s="138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137"/>
      <c r="B422" s="138"/>
      <c r="C422" s="138"/>
      <c r="D422" s="138"/>
      <c r="E422" s="138"/>
      <c r="F422" s="138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137"/>
      <c r="B423" s="138"/>
      <c r="C423" s="138"/>
      <c r="D423" s="138"/>
      <c r="E423" s="138"/>
      <c r="F423" s="138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137"/>
      <c r="B424" s="138"/>
      <c r="C424" s="138"/>
      <c r="D424" s="138"/>
      <c r="E424" s="138"/>
      <c r="F424" s="138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137"/>
      <c r="B425" s="138"/>
      <c r="C425" s="138"/>
      <c r="D425" s="138"/>
      <c r="E425" s="138"/>
      <c r="F425" s="138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137"/>
      <c r="B426" s="138"/>
      <c r="C426" s="138"/>
      <c r="D426" s="138"/>
      <c r="E426" s="138"/>
      <c r="F426" s="138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137"/>
      <c r="B427" s="138"/>
      <c r="C427" s="138"/>
      <c r="D427" s="138"/>
      <c r="E427" s="138"/>
      <c r="F427" s="138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137"/>
      <c r="B428" s="138"/>
      <c r="C428" s="138"/>
      <c r="D428" s="138"/>
      <c r="E428" s="138"/>
      <c r="F428" s="138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137"/>
      <c r="B429" s="138"/>
      <c r="C429" s="138"/>
      <c r="D429" s="138"/>
      <c r="E429" s="138"/>
      <c r="F429" s="138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137"/>
      <c r="B430" s="138"/>
      <c r="C430" s="138"/>
      <c r="D430" s="138"/>
      <c r="E430" s="138"/>
      <c r="F430" s="138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137"/>
      <c r="B431" s="138"/>
      <c r="C431" s="138"/>
      <c r="D431" s="138"/>
      <c r="E431" s="138"/>
      <c r="F431" s="138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137"/>
      <c r="B432" s="138"/>
      <c r="C432" s="138"/>
      <c r="D432" s="138"/>
      <c r="E432" s="138"/>
      <c r="F432" s="138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137"/>
      <c r="B433" s="138"/>
      <c r="C433" s="138"/>
      <c r="D433" s="138"/>
      <c r="E433" s="138"/>
      <c r="F433" s="138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137"/>
      <c r="B434" s="138"/>
      <c r="C434" s="138"/>
      <c r="D434" s="138"/>
      <c r="E434" s="138"/>
      <c r="F434" s="138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137"/>
      <c r="B435" s="138"/>
      <c r="C435" s="138"/>
      <c r="D435" s="138"/>
      <c r="E435" s="138"/>
      <c r="F435" s="138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137"/>
      <c r="B436" s="138"/>
      <c r="C436" s="138"/>
      <c r="D436" s="138"/>
      <c r="E436" s="138"/>
      <c r="F436" s="138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137"/>
      <c r="B437" s="138"/>
      <c r="C437" s="138"/>
      <c r="D437" s="138"/>
      <c r="E437" s="138"/>
      <c r="F437" s="138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137"/>
      <c r="B438" s="138"/>
      <c r="C438" s="138"/>
      <c r="D438" s="138"/>
      <c r="E438" s="138"/>
      <c r="F438" s="138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137"/>
      <c r="B439" s="138"/>
      <c r="C439" s="138"/>
      <c r="D439" s="138"/>
      <c r="E439" s="138"/>
      <c r="F439" s="138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137"/>
      <c r="B440" s="138"/>
      <c r="C440" s="138"/>
      <c r="D440" s="138"/>
      <c r="E440" s="138"/>
      <c r="F440" s="138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137"/>
      <c r="B441" s="138"/>
      <c r="C441" s="138"/>
      <c r="D441" s="138"/>
      <c r="E441" s="138"/>
      <c r="F441" s="138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137"/>
      <c r="B442" s="138"/>
      <c r="C442" s="138"/>
      <c r="D442" s="138"/>
      <c r="E442" s="138"/>
      <c r="F442" s="138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137"/>
      <c r="B443" s="138"/>
      <c r="C443" s="138"/>
      <c r="D443" s="138"/>
      <c r="E443" s="138"/>
      <c r="F443" s="138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137"/>
      <c r="B444" s="138"/>
      <c r="C444" s="138"/>
      <c r="D444" s="138"/>
      <c r="E444" s="138"/>
      <c r="F444" s="138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137"/>
      <c r="B445" s="138"/>
      <c r="C445" s="138"/>
      <c r="D445" s="138"/>
      <c r="E445" s="138"/>
      <c r="F445" s="138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137"/>
      <c r="B446" s="138"/>
      <c r="C446" s="138"/>
      <c r="D446" s="138"/>
      <c r="E446" s="138"/>
      <c r="F446" s="138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137"/>
      <c r="B447" s="138"/>
      <c r="C447" s="138"/>
      <c r="D447" s="138"/>
      <c r="E447" s="138"/>
      <c r="F447" s="138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137"/>
      <c r="B448" s="138"/>
      <c r="C448" s="138"/>
      <c r="D448" s="138"/>
      <c r="E448" s="138"/>
      <c r="F448" s="138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137"/>
      <c r="B449" s="138"/>
      <c r="C449" s="138"/>
      <c r="D449" s="138"/>
      <c r="E449" s="138"/>
      <c r="F449" s="138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137"/>
      <c r="B450" s="138"/>
      <c r="C450" s="138"/>
      <c r="D450" s="138"/>
      <c r="E450" s="138"/>
      <c r="F450" s="138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137"/>
      <c r="B451" s="138"/>
      <c r="C451" s="138"/>
      <c r="D451" s="138"/>
      <c r="E451" s="138"/>
      <c r="F451" s="138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137"/>
      <c r="B452" s="138"/>
      <c r="C452" s="138"/>
      <c r="D452" s="138"/>
      <c r="E452" s="138"/>
      <c r="F452" s="138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137"/>
      <c r="B453" s="138"/>
      <c r="C453" s="138"/>
      <c r="D453" s="138"/>
      <c r="E453" s="138"/>
      <c r="F453" s="138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137"/>
      <c r="B454" s="138"/>
      <c r="C454" s="138"/>
      <c r="D454" s="138"/>
      <c r="E454" s="138"/>
      <c r="F454" s="138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137"/>
      <c r="B455" s="138"/>
      <c r="C455" s="138"/>
      <c r="D455" s="138"/>
      <c r="E455" s="138"/>
      <c r="F455" s="138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137"/>
      <c r="B456" s="138"/>
      <c r="C456" s="138"/>
      <c r="D456" s="138"/>
      <c r="E456" s="138"/>
      <c r="F456" s="138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137"/>
      <c r="B457" s="138"/>
      <c r="C457" s="138"/>
      <c r="D457" s="138"/>
      <c r="E457" s="138"/>
      <c r="F457" s="138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137"/>
      <c r="B458" s="138"/>
      <c r="C458" s="138"/>
      <c r="D458" s="138"/>
      <c r="E458" s="138"/>
      <c r="F458" s="138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137"/>
      <c r="B459" s="138"/>
      <c r="C459" s="138"/>
      <c r="D459" s="138"/>
      <c r="E459" s="138"/>
      <c r="F459" s="138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137"/>
      <c r="B460" s="138"/>
      <c r="C460" s="138"/>
      <c r="D460" s="138"/>
      <c r="E460" s="138"/>
      <c r="F460" s="138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137"/>
      <c r="B461" s="138"/>
      <c r="C461" s="138"/>
      <c r="D461" s="138"/>
      <c r="E461" s="138"/>
      <c r="F461" s="138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137"/>
      <c r="B462" s="138"/>
      <c r="C462" s="138"/>
      <c r="D462" s="138"/>
      <c r="E462" s="138"/>
      <c r="F462" s="138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137"/>
      <c r="B463" s="138"/>
      <c r="C463" s="138"/>
      <c r="D463" s="138"/>
      <c r="E463" s="138"/>
      <c r="F463" s="138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137"/>
      <c r="B464" s="138"/>
      <c r="C464" s="138"/>
      <c r="D464" s="138"/>
      <c r="E464" s="138"/>
      <c r="F464" s="138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137"/>
      <c r="B465" s="138"/>
      <c r="C465" s="138"/>
      <c r="D465" s="138"/>
      <c r="E465" s="138"/>
      <c r="F465" s="138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137"/>
      <c r="B466" s="138"/>
      <c r="C466" s="138"/>
      <c r="D466" s="138"/>
      <c r="E466" s="138"/>
      <c r="F466" s="138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137"/>
      <c r="B467" s="138"/>
      <c r="C467" s="138"/>
      <c r="D467" s="138"/>
      <c r="E467" s="138"/>
      <c r="F467" s="138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137"/>
      <c r="B468" s="138"/>
      <c r="C468" s="138"/>
      <c r="D468" s="138"/>
      <c r="E468" s="138"/>
      <c r="F468" s="138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137"/>
      <c r="B469" s="138"/>
      <c r="C469" s="138"/>
      <c r="D469" s="138"/>
      <c r="E469" s="138"/>
      <c r="F469" s="138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137"/>
      <c r="B470" s="138"/>
      <c r="C470" s="138"/>
      <c r="D470" s="138"/>
      <c r="E470" s="138"/>
      <c r="F470" s="138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137"/>
      <c r="B471" s="138"/>
      <c r="C471" s="138"/>
      <c r="D471" s="138"/>
      <c r="E471" s="138"/>
      <c r="F471" s="138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137"/>
      <c r="B472" s="138"/>
      <c r="C472" s="138"/>
      <c r="D472" s="138"/>
      <c r="E472" s="138"/>
      <c r="F472" s="138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137"/>
      <c r="B473" s="138"/>
      <c r="C473" s="138"/>
      <c r="D473" s="138"/>
      <c r="E473" s="138"/>
      <c r="F473" s="138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137"/>
      <c r="B474" s="138"/>
      <c r="C474" s="138"/>
      <c r="D474" s="138"/>
      <c r="E474" s="138"/>
      <c r="F474" s="138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137"/>
      <c r="B475" s="138"/>
      <c r="C475" s="138"/>
      <c r="D475" s="138"/>
      <c r="E475" s="138"/>
      <c r="F475" s="138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137"/>
      <c r="B476" s="138"/>
      <c r="C476" s="138"/>
      <c r="D476" s="138"/>
      <c r="E476" s="138"/>
      <c r="F476" s="138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137"/>
      <c r="B477" s="138"/>
      <c r="C477" s="138"/>
      <c r="D477" s="138"/>
      <c r="E477" s="138"/>
      <c r="F477" s="138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137"/>
      <c r="B478" s="138"/>
      <c r="C478" s="138"/>
      <c r="D478" s="138"/>
      <c r="E478" s="138"/>
      <c r="F478" s="138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137"/>
      <c r="B479" s="138"/>
      <c r="C479" s="138"/>
      <c r="D479" s="138"/>
      <c r="E479" s="138"/>
      <c r="F479" s="138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137"/>
      <c r="B480" s="138"/>
      <c r="C480" s="138"/>
      <c r="D480" s="138"/>
      <c r="E480" s="138"/>
      <c r="F480" s="138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137"/>
      <c r="B481" s="138"/>
      <c r="C481" s="138"/>
      <c r="D481" s="138"/>
      <c r="E481" s="138"/>
      <c r="F481" s="138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137"/>
      <c r="B482" s="138"/>
      <c r="C482" s="138"/>
      <c r="D482" s="138"/>
      <c r="E482" s="138"/>
      <c r="F482" s="138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137"/>
      <c r="B483" s="138"/>
      <c r="C483" s="138"/>
      <c r="D483" s="138"/>
      <c r="E483" s="138"/>
      <c r="F483" s="138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137"/>
      <c r="B484" s="138"/>
      <c r="C484" s="138"/>
      <c r="D484" s="138"/>
      <c r="E484" s="138"/>
      <c r="F484" s="138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137"/>
      <c r="B485" s="138"/>
      <c r="C485" s="138"/>
      <c r="D485" s="138"/>
      <c r="E485" s="138"/>
      <c r="F485" s="138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137"/>
      <c r="B486" s="138"/>
      <c r="C486" s="138"/>
      <c r="D486" s="138"/>
      <c r="E486" s="138"/>
      <c r="F486" s="138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137"/>
      <c r="B487" s="138"/>
      <c r="C487" s="138"/>
      <c r="D487" s="138"/>
      <c r="E487" s="138"/>
      <c r="F487" s="138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137"/>
      <c r="B488" s="138"/>
      <c r="C488" s="138"/>
      <c r="D488" s="138"/>
      <c r="E488" s="138"/>
      <c r="F488" s="138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137"/>
      <c r="B489" s="138"/>
      <c r="C489" s="138"/>
      <c r="D489" s="138"/>
      <c r="E489" s="138"/>
      <c r="F489" s="138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137"/>
      <c r="B490" s="138"/>
      <c r="C490" s="138"/>
      <c r="D490" s="138"/>
      <c r="E490" s="138"/>
      <c r="F490" s="138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137"/>
      <c r="B491" s="138"/>
      <c r="C491" s="138"/>
      <c r="D491" s="138"/>
      <c r="E491" s="138"/>
      <c r="F491" s="138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137"/>
      <c r="B492" s="138"/>
      <c r="C492" s="138"/>
      <c r="D492" s="138"/>
      <c r="E492" s="138"/>
      <c r="F492" s="138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137"/>
      <c r="B493" s="138"/>
      <c r="C493" s="138"/>
      <c r="D493" s="138"/>
      <c r="E493" s="138"/>
      <c r="F493" s="138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137"/>
      <c r="B494" s="138"/>
      <c r="C494" s="138"/>
      <c r="D494" s="138"/>
      <c r="E494" s="138"/>
      <c r="F494" s="138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137"/>
      <c r="B495" s="138"/>
      <c r="C495" s="138"/>
      <c r="D495" s="138"/>
      <c r="E495" s="138"/>
      <c r="F495" s="138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137"/>
      <c r="B496" s="138"/>
      <c r="C496" s="138"/>
      <c r="D496" s="138"/>
      <c r="E496" s="138"/>
      <c r="F496" s="138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137"/>
      <c r="B497" s="138"/>
      <c r="C497" s="138"/>
      <c r="D497" s="138"/>
      <c r="E497" s="138"/>
      <c r="F497" s="138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137"/>
      <c r="B498" s="138"/>
      <c r="C498" s="138"/>
      <c r="D498" s="138"/>
      <c r="E498" s="138"/>
      <c r="F498" s="138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137"/>
      <c r="B499" s="138"/>
      <c r="C499" s="138"/>
      <c r="D499" s="138"/>
      <c r="E499" s="138"/>
      <c r="F499" s="138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137"/>
      <c r="B500" s="138"/>
      <c r="C500" s="138"/>
      <c r="D500" s="138"/>
      <c r="E500" s="138"/>
      <c r="F500" s="138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137"/>
      <c r="B501" s="138"/>
      <c r="C501" s="138"/>
      <c r="D501" s="138"/>
      <c r="E501" s="138"/>
      <c r="F501" s="138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137"/>
      <c r="B502" s="138"/>
      <c r="C502" s="138"/>
      <c r="D502" s="138"/>
      <c r="E502" s="138"/>
      <c r="F502" s="138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137"/>
      <c r="B503" s="138"/>
      <c r="C503" s="138"/>
      <c r="D503" s="138"/>
      <c r="E503" s="138"/>
      <c r="F503" s="138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137"/>
      <c r="B504" s="138"/>
      <c r="C504" s="138"/>
      <c r="D504" s="138"/>
      <c r="E504" s="138"/>
      <c r="F504" s="138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137"/>
      <c r="B505" s="138"/>
      <c r="C505" s="138"/>
      <c r="D505" s="138"/>
      <c r="E505" s="138"/>
      <c r="F505" s="138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137"/>
      <c r="B506" s="138"/>
      <c r="C506" s="138"/>
      <c r="D506" s="138"/>
      <c r="E506" s="138"/>
      <c r="F506" s="138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137"/>
      <c r="B507" s="138"/>
      <c r="C507" s="138"/>
      <c r="D507" s="138"/>
      <c r="E507" s="138"/>
      <c r="F507" s="138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137"/>
      <c r="B508" s="138"/>
      <c r="C508" s="138"/>
      <c r="D508" s="138"/>
      <c r="E508" s="138"/>
      <c r="F508" s="138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137"/>
      <c r="B509" s="138"/>
      <c r="C509" s="138"/>
      <c r="D509" s="138"/>
      <c r="E509" s="138"/>
      <c r="F509" s="138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137"/>
      <c r="B510" s="138"/>
      <c r="C510" s="138"/>
      <c r="D510" s="138"/>
      <c r="E510" s="138"/>
      <c r="F510" s="138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137"/>
      <c r="B511" s="138"/>
      <c r="C511" s="138"/>
      <c r="D511" s="138"/>
      <c r="E511" s="138"/>
      <c r="F511" s="138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137"/>
      <c r="B512" s="138"/>
      <c r="C512" s="138"/>
      <c r="D512" s="138"/>
      <c r="E512" s="138"/>
      <c r="F512" s="138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137"/>
      <c r="B513" s="138"/>
      <c r="C513" s="138"/>
      <c r="D513" s="138"/>
      <c r="E513" s="138"/>
      <c r="F513" s="138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137"/>
      <c r="B514" s="138"/>
      <c r="C514" s="138"/>
      <c r="D514" s="138"/>
      <c r="E514" s="138"/>
      <c r="F514" s="138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137"/>
      <c r="B515" s="138"/>
      <c r="C515" s="138"/>
      <c r="D515" s="138"/>
      <c r="E515" s="138"/>
      <c r="F515" s="138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137"/>
      <c r="B516" s="138"/>
      <c r="C516" s="138"/>
      <c r="D516" s="138"/>
      <c r="E516" s="138"/>
      <c r="F516" s="138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137"/>
      <c r="B517" s="138"/>
      <c r="C517" s="138"/>
      <c r="D517" s="138"/>
      <c r="E517" s="138"/>
      <c r="F517" s="138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137"/>
      <c r="B518" s="138"/>
      <c r="C518" s="138"/>
      <c r="D518" s="138"/>
      <c r="E518" s="138"/>
      <c r="F518" s="138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137"/>
      <c r="B519" s="138"/>
      <c r="C519" s="138"/>
      <c r="D519" s="138"/>
      <c r="E519" s="138"/>
      <c r="F519" s="138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137"/>
      <c r="B520" s="138"/>
      <c r="C520" s="138"/>
      <c r="D520" s="138"/>
      <c r="E520" s="138"/>
      <c r="F520" s="138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137"/>
      <c r="B521" s="138"/>
      <c r="C521" s="138"/>
      <c r="D521" s="138"/>
      <c r="E521" s="138"/>
      <c r="F521" s="138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137"/>
      <c r="B522" s="138"/>
      <c r="C522" s="138"/>
      <c r="D522" s="138"/>
      <c r="E522" s="138"/>
      <c r="F522" s="138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137"/>
      <c r="B523" s="138"/>
      <c r="C523" s="138"/>
      <c r="D523" s="138"/>
      <c r="E523" s="138"/>
      <c r="F523" s="138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137"/>
      <c r="B524" s="138"/>
      <c r="C524" s="138"/>
      <c r="D524" s="138"/>
      <c r="E524" s="138"/>
      <c r="F524" s="138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137"/>
      <c r="B525" s="138"/>
      <c r="C525" s="138"/>
      <c r="D525" s="138"/>
      <c r="E525" s="138"/>
      <c r="F525" s="138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137"/>
      <c r="B526" s="138"/>
      <c r="C526" s="138"/>
      <c r="D526" s="138"/>
      <c r="E526" s="138"/>
      <c r="F526" s="138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137"/>
      <c r="B527" s="138"/>
      <c r="C527" s="138"/>
      <c r="D527" s="138"/>
      <c r="E527" s="138"/>
      <c r="F527" s="138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137"/>
      <c r="B528" s="138"/>
      <c r="C528" s="138"/>
      <c r="D528" s="138"/>
      <c r="E528" s="138"/>
      <c r="F528" s="138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137"/>
      <c r="B529" s="138"/>
      <c r="C529" s="138"/>
      <c r="D529" s="138"/>
      <c r="E529" s="138"/>
      <c r="F529" s="138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137"/>
      <c r="B530" s="138"/>
      <c r="C530" s="138"/>
      <c r="D530" s="138"/>
      <c r="E530" s="138"/>
      <c r="F530" s="138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137"/>
      <c r="B531" s="138"/>
      <c r="C531" s="138"/>
      <c r="D531" s="138"/>
      <c r="E531" s="138"/>
      <c r="F531" s="138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137"/>
      <c r="B532" s="138"/>
      <c r="C532" s="138"/>
      <c r="D532" s="138"/>
      <c r="E532" s="138"/>
      <c r="F532" s="138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137"/>
      <c r="B533" s="138"/>
      <c r="C533" s="138"/>
      <c r="D533" s="138"/>
      <c r="E533" s="138"/>
      <c r="F533" s="138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137"/>
      <c r="B534" s="138"/>
      <c r="C534" s="138"/>
      <c r="D534" s="138"/>
      <c r="E534" s="138"/>
      <c r="F534" s="138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137"/>
      <c r="B535" s="138"/>
      <c r="C535" s="138"/>
      <c r="D535" s="138"/>
      <c r="E535" s="138"/>
      <c r="F535" s="138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137"/>
      <c r="B536" s="138"/>
      <c r="C536" s="138"/>
      <c r="D536" s="138"/>
      <c r="E536" s="138"/>
      <c r="F536" s="138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137"/>
      <c r="B537" s="138"/>
      <c r="C537" s="138"/>
      <c r="D537" s="138"/>
      <c r="E537" s="138"/>
      <c r="F537" s="138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137"/>
      <c r="B538" s="138"/>
      <c r="C538" s="138"/>
      <c r="D538" s="138"/>
      <c r="E538" s="138"/>
      <c r="F538" s="138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137"/>
      <c r="B539" s="138"/>
      <c r="C539" s="138"/>
      <c r="D539" s="138"/>
      <c r="E539" s="138"/>
      <c r="F539" s="138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137"/>
      <c r="B540" s="138"/>
      <c r="C540" s="138"/>
      <c r="D540" s="138"/>
      <c r="E540" s="138"/>
      <c r="F540" s="138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137"/>
      <c r="B541" s="138"/>
      <c r="C541" s="138"/>
      <c r="D541" s="138"/>
      <c r="E541" s="138"/>
      <c r="F541" s="138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137"/>
      <c r="B542" s="138"/>
      <c r="C542" s="138"/>
      <c r="D542" s="138"/>
      <c r="E542" s="138"/>
      <c r="F542" s="138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137"/>
      <c r="B543" s="138"/>
      <c r="C543" s="138"/>
      <c r="D543" s="138"/>
      <c r="E543" s="138"/>
      <c r="F543" s="138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137"/>
      <c r="B544" s="138"/>
      <c r="C544" s="138"/>
      <c r="D544" s="138"/>
      <c r="E544" s="138"/>
      <c r="F544" s="138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137"/>
      <c r="B545" s="138"/>
      <c r="C545" s="138"/>
      <c r="D545" s="138"/>
      <c r="E545" s="138"/>
      <c r="F545" s="138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137"/>
      <c r="B546" s="138"/>
      <c r="C546" s="138"/>
      <c r="D546" s="138"/>
      <c r="E546" s="138"/>
      <c r="F546" s="138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137"/>
      <c r="B547" s="138"/>
      <c r="C547" s="138"/>
      <c r="D547" s="138"/>
      <c r="E547" s="138"/>
      <c r="F547" s="138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137"/>
      <c r="B548" s="138"/>
      <c r="C548" s="138"/>
      <c r="D548" s="138"/>
      <c r="E548" s="138"/>
      <c r="F548" s="138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137"/>
      <c r="B549" s="138"/>
      <c r="C549" s="138"/>
      <c r="D549" s="138"/>
      <c r="E549" s="138"/>
      <c r="F549" s="138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137"/>
      <c r="B550" s="138"/>
      <c r="C550" s="138"/>
      <c r="D550" s="138"/>
      <c r="E550" s="138"/>
      <c r="F550" s="138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137"/>
      <c r="B551" s="138"/>
      <c r="C551" s="138"/>
      <c r="D551" s="138"/>
      <c r="E551" s="138"/>
      <c r="F551" s="138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137"/>
      <c r="B552" s="138"/>
      <c r="C552" s="138"/>
      <c r="D552" s="138"/>
      <c r="E552" s="138"/>
      <c r="F552" s="138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137"/>
      <c r="B553" s="138"/>
      <c r="C553" s="138"/>
      <c r="D553" s="138"/>
      <c r="E553" s="138"/>
      <c r="F553" s="138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137"/>
      <c r="B554" s="138"/>
      <c r="C554" s="138"/>
      <c r="D554" s="138"/>
      <c r="E554" s="138"/>
      <c r="F554" s="138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137"/>
      <c r="B555" s="138"/>
      <c r="C555" s="138"/>
      <c r="D555" s="138"/>
      <c r="E555" s="138"/>
      <c r="F555" s="138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137"/>
      <c r="B556" s="138"/>
      <c r="C556" s="138"/>
      <c r="D556" s="138"/>
      <c r="E556" s="138"/>
      <c r="F556" s="138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137"/>
      <c r="B557" s="138"/>
      <c r="C557" s="138"/>
      <c r="D557" s="138"/>
      <c r="E557" s="138"/>
      <c r="F557" s="138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137"/>
      <c r="B558" s="138"/>
      <c r="C558" s="138"/>
      <c r="D558" s="138"/>
      <c r="E558" s="138"/>
      <c r="F558" s="138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137"/>
      <c r="B559" s="138"/>
      <c r="C559" s="138"/>
      <c r="D559" s="138"/>
      <c r="E559" s="138"/>
      <c r="F559" s="138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137"/>
      <c r="B560" s="138"/>
      <c r="C560" s="138"/>
      <c r="D560" s="138"/>
      <c r="E560" s="138"/>
      <c r="F560" s="138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137"/>
      <c r="B561" s="138"/>
      <c r="C561" s="138"/>
      <c r="D561" s="138"/>
      <c r="E561" s="138"/>
      <c r="F561" s="138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137"/>
      <c r="B562" s="138"/>
      <c r="C562" s="138"/>
      <c r="D562" s="138"/>
      <c r="E562" s="138"/>
      <c r="F562" s="138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137"/>
      <c r="B563" s="138"/>
      <c r="C563" s="138"/>
      <c r="D563" s="138"/>
      <c r="E563" s="138"/>
      <c r="F563" s="138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137"/>
      <c r="B564" s="138"/>
      <c r="C564" s="138"/>
      <c r="D564" s="138"/>
      <c r="E564" s="138"/>
      <c r="F564" s="138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137"/>
      <c r="B565" s="138"/>
      <c r="C565" s="138"/>
      <c r="D565" s="138"/>
      <c r="E565" s="138"/>
      <c r="F565" s="138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137"/>
      <c r="B566" s="138"/>
      <c r="C566" s="138"/>
      <c r="D566" s="138"/>
      <c r="E566" s="138"/>
      <c r="F566" s="138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137"/>
      <c r="B567" s="138"/>
      <c r="C567" s="138"/>
      <c r="D567" s="138"/>
      <c r="E567" s="138"/>
      <c r="F567" s="138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137"/>
      <c r="B568" s="138"/>
      <c r="C568" s="138"/>
      <c r="D568" s="138"/>
      <c r="E568" s="138"/>
      <c r="F568" s="138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137"/>
      <c r="B569" s="138"/>
      <c r="C569" s="138"/>
      <c r="D569" s="138"/>
      <c r="E569" s="138"/>
      <c r="F569" s="138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137"/>
      <c r="B570" s="138"/>
      <c r="C570" s="138"/>
      <c r="D570" s="138"/>
      <c r="E570" s="138"/>
      <c r="F570" s="138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137"/>
      <c r="B571" s="138"/>
      <c r="C571" s="138"/>
      <c r="D571" s="138"/>
      <c r="E571" s="138"/>
      <c r="F571" s="138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137"/>
      <c r="B572" s="138"/>
      <c r="C572" s="138"/>
      <c r="D572" s="138"/>
      <c r="E572" s="138"/>
      <c r="F572" s="138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137"/>
      <c r="B573" s="138"/>
      <c r="C573" s="138"/>
      <c r="D573" s="138"/>
      <c r="E573" s="138"/>
      <c r="F573" s="138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137"/>
      <c r="B574" s="138"/>
      <c r="C574" s="138"/>
      <c r="D574" s="138"/>
      <c r="E574" s="138"/>
      <c r="F574" s="138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137"/>
      <c r="B575" s="138"/>
      <c r="C575" s="138"/>
      <c r="D575" s="138"/>
      <c r="E575" s="138"/>
      <c r="F575" s="138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137"/>
      <c r="B576" s="138"/>
      <c r="C576" s="138"/>
      <c r="D576" s="138"/>
      <c r="E576" s="138"/>
      <c r="F576" s="138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137"/>
      <c r="B577" s="138"/>
      <c r="C577" s="138"/>
      <c r="D577" s="138"/>
      <c r="E577" s="138"/>
      <c r="F577" s="138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137"/>
      <c r="B578" s="138"/>
      <c r="C578" s="138"/>
      <c r="D578" s="138"/>
      <c r="E578" s="138"/>
      <c r="F578" s="138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137"/>
      <c r="B579" s="138"/>
      <c r="C579" s="138"/>
      <c r="D579" s="138"/>
      <c r="E579" s="138"/>
      <c r="F579" s="138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137"/>
      <c r="B580" s="138"/>
      <c r="C580" s="138"/>
      <c r="D580" s="138"/>
      <c r="E580" s="138"/>
      <c r="F580" s="138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137"/>
      <c r="B581" s="138"/>
      <c r="C581" s="138"/>
      <c r="D581" s="138"/>
      <c r="E581" s="138"/>
      <c r="F581" s="138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137"/>
      <c r="B582" s="138"/>
      <c r="C582" s="138"/>
      <c r="D582" s="138"/>
      <c r="E582" s="138"/>
      <c r="F582" s="138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137"/>
      <c r="B583" s="138"/>
      <c r="C583" s="138"/>
      <c r="D583" s="138"/>
      <c r="E583" s="138"/>
      <c r="F583" s="138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137"/>
      <c r="B584" s="138"/>
      <c r="C584" s="138"/>
      <c r="D584" s="138"/>
      <c r="E584" s="138"/>
      <c r="F584" s="138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137"/>
      <c r="B585" s="138"/>
      <c r="C585" s="138"/>
      <c r="D585" s="138"/>
      <c r="E585" s="138"/>
      <c r="F585" s="138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137"/>
      <c r="B586" s="138"/>
      <c r="C586" s="138"/>
      <c r="D586" s="138"/>
      <c r="E586" s="138"/>
      <c r="F586" s="138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137"/>
      <c r="B587" s="138"/>
      <c r="C587" s="138"/>
      <c r="D587" s="138"/>
      <c r="E587" s="138"/>
      <c r="F587" s="138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137"/>
      <c r="B588" s="138"/>
      <c r="C588" s="138"/>
      <c r="D588" s="138"/>
      <c r="E588" s="138"/>
      <c r="F588" s="138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137"/>
      <c r="B589" s="138"/>
      <c r="C589" s="138"/>
      <c r="D589" s="138"/>
      <c r="E589" s="138"/>
      <c r="F589" s="138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137"/>
      <c r="B590" s="138"/>
      <c r="C590" s="138"/>
      <c r="D590" s="138"/>
      <c r="E590" s="138"/>
      <c r="F590" s="138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137"/>
      <c r="B591" s="138"/>
      <c r="C591" s="138"/>
      <c r="D591" s="138"/>
      <c r="E591" s="138"/>
      <c r="F591" s="138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137"/>
      <c r="B592" s="138"/>
      <c r="C592" s="138"/>
      <c r="D592" s="138"/>
      <c r="E592" s="138"/>
      <c r="F592" s="138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137"/>
      <c r="B593" s="138"/>
      <c r="C593" s="138"/>
      <c r="D593" s="138"/>
      <c r="E593" s="138"/>
      <c r="F593" s="138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137"/>
      <c r="B594" s="138"/>
      <c r="C594" s="138"/>
      <c r="D594" s="138"/>
      <c r="E594" s="138"/>
      <c r="F594" s="138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137"/>
      <c r="B595" s="138"/>
      <c r="C595" s="138"/>
      <c r="D595" s="138"/>
      <c r="E595" s="138"/>
      <c r="F595" s="138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137"/>
      <c r="B596" s="138"/>
      <c r="C596" s="138"/>
      <c r="D596" s="138"/>
      <c r="E596" s="138"/>
      <c r="F596" s="138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137"/>
      <c r="B597" s="138"/>
      <c r="C597" s="138"/>
      <c r="D597" s="138"/>
      <c r="E597" s="138"/>
      <c r="F597" s="138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137"/>
      <c r="B598" s="138"/>
      <c r="C598" s="138"/>
      <c r="D598" s="138"/>
      <c r="E598" s="138"/>
      <c r="F598" s="138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137"/>
      <c r="B599" s="138"/>
      <c r="C599" s="138"/>
      <c r="D599" s="138"/>
      <c r="E599" s="138"/>
      <c r="F599" s="138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137"/>
      <c r="B600" s="138"/>
      <c r="C600" s="138"/>
      <c r="D600" s="138"/>
      <c r="E600" s="138"/>
      <c r="F600" s="138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137"/>
      <c r="B601" s="138"/>
      <c r="C601" s="138"/>
      <c r="D601" s="138"/>
      <c r="E601" s="138"/>
      <c r="F601" s="138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137"/>
      <c r="B602" s="138"/>
      <c r="C602" s="138"/>
      <c r="D602" s="138"/>
      <c r="E602" s="138"/>
      <c r="F602" s="138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137"/>
      <c r="B603" s="138"/>
      <c r="C603" s="138"/>
      <c r="D603" s="138"/>
      <c r="E603" s="138"/>
      <c r="F603" s="138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137"/>
      <c r="B604" s="138"/>
      <c r="C604" s="138"/>
      <c r="D604" s="138"/>
      <c r="E604" s="138"/>
      <c r="F604" s="138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137"/>
      <c r="B605" s="138"/>
      <c r="C605" s="138"/>
      <c r="D605" s="138"/>
      <c r="E605" s="138"/>
      <c r="F605" s="138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137"/>
      <c r="B606" s="138"/>
      <c r="C606" s="138"/>
      <c r="D606" s="138"/>
      <c r="E606" s="138"/>
      <c r="F606" s="138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137"/>
      <c r="B607" s="138"/>
      <c r="C607" s="138"/>
      <c r="D607" s="138"/>
      <c r="E607" s="138"/>
      <c r="F607" s="138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137"/>
      <c r="B608" s="138"/>
      <c r="C608" s="138"/>
      <c r="D608" s="138"/>
      <c r="E608" s="138"/>
      <c r="F608" s="138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137"/>
      <c r="B609" s="138"/>
      <c r="C609" s="138"/>
      <c r="D609" s="138"/>
      <c r="E609" s="138"/>
      <c r="F609" s="138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137"/>
      <c r="B610" s="138"/>
      <c r="C610" s="138"/>
      <c r="D610" s="138"/>
      <c r="E610" s="138"/>
      <c r="F610" s="138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137"/>
      <c r="B611" s="138"/>
      <c r="C611" s="138"/>
      <c r="D611" s="138"/>
      <c r="E611" s="138"/>
      <c r="F611" s="138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137"/>
      <c r="B612" s="138"/>
      <c r="C612" s="138"/>
      <c r="D612" s="138"/>
      <c r="E612" s="138"/>
      <c r="F612" s="138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137"/>
      <c r="B613" s="138"/>
      <c r="C613" s="138"/>
      <c r="D613" s="138"/>
      <c r="E613" s="138"/>
      <c r="F613" s="138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137"/>
      <c r="B614" s="138"/>
      <c r="C614" s="138"/>
      <c r="D614" s="138"/>
      <c r="E614" s="138"/>
      <c r="F614" s="138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137"/>
      <c r="B615" s="138"/>
      <c r="C615" s="138"/>
      <c r="D615" s="138"/>
      <c r="E615" s="138"/>
      <c r="F615" s="138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137"/>
      <c r="B616" s="138"/>
      <c r="C616" s="138"/>
      <c r="D616" s="138"/>
      <c r="E616" s="138"/>
      <c r="F616" s="138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137"/>
      <c r="B617" s="138"/>
      <c r="C617" s="138"/>
      <c r="D617" s="138"/>
      <c r="E617" s="138"/>
      <c r="F617" s="138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137"/>
      <c r="B618" s="138"/>
      <c r="C618" s="138"/>
      <c r="D618" s="138"/>
      <c r="E618" s="138"/>
      <c r="F618" s="138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137"/>
      <c r="B619" s="138"/>
      <c r="C619" s="138"/>
      <c r="D619" s="138"/>
      <c r="E619" s="138"/>
      <c r="F619" s="138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137"/>
      <c r="B620" s="138"/>
      <c r="C620" s="138"/>
      <c r="D620" s="138"/>
      <c r="E620" s="138"/>
      <c r="F620" s="138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137"/>
      <c r="B621" s="138"/>
      <c r="C621" s="138"/>
      <c r="D621" s="138"/>
      <c r="E621" s="138"/>
      <c r="F621" s="138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137"/>
      <c r="B622" s="138"/>
      <c r="C622" s="138"/>
      <c r="D622" s="138"/>
      <c r="E622" s="138"/>
      <c r="F622" s="138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137"/>
      <c r="B623" s="138"/>
      <c r="C623" s="138"/>
      <c r="D623" s="138"/>
      <c r="E623" s="138"/>
      <c r="F623" s="138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137"/>
      <c r="B624" s="138"/>
      <c r="C624" s="138"/>
      <c r="D624" s="138"/>
      <c r="E624" s="138"/>
      <c r="F624" s="138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137"/>
      <c r="B625" s="138"/>
      <c r="C625" s="138"/>
      <c r="D625" s="138"/>
      <c r="E625" s="138"/>
      <c r="F625" s="138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137"/>
      <c r="B626" s="138"/>
      <c r="C626" s="138"/>
      <c r="D626" s="138"/>
      <c r="E626" s="138"/>
      <c r="F626" s="138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137"/>
      <c r="B627" s="138"/>
      <c r="C627" s="138"/>
      <c r="D627" s="138"/>
      <c r="E627" s="138"/>
      <c r="F627" s="138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137"/>
      <c r="B628" s="138"/>
      <c r="C628" s="138"/>
      <c r="D628" s="138"/>
      <c r="E628" s="138"/>
      <c r="F628" s="138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137"/>
      <c r="B629" s="138"/>
      <c r="C629" s="138"/>
      <c r="D629" s="138"/>
      <c r="E629" s="138"/>
      <c r="F629" s="138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137"/>
      <c r="B630" s="138"/>
      <c r="C630" s="138"/>
      <c r="D630" s="138"/>
      <c r="E630" s="138"/>
      <c r="F630" s="138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137"/>
      <c r="B631" s="138"/>
      <c r="C631" s="138"/>
      <c r="D631" s="138"/>
      <c r="E631" s="138"/>
      <c r="F631" s="138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137"/>
      <c r="B632" s="138"/>
      <c r="C632" s="138"/>
      <c r="D632" s="138"/>
      <c r="E632" s="138"/>
      <c r="F632" s="138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137"/>
      <c r="B633" s="138"/>
      <c r="C633" s="138"/>
      <c r="D633" s="138"/>
      <c r="E633" s="138"/>
      <c r="F633" s="138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137"/>
      <c r="B634" s="138"/>
      <c r="C634" s="138"/>
      <c r="D634" s="138"/>
      <c r="E634" s="138"/>
      <c r="F634" s="138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137"/>
      <c r="B635" s="138"/>
      <c r="C635" s="138"/>
      <c r="D635" s="138"/>
      <c r="E635" s="138"/>
      <c r="F635" s="138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137"/>
      <c r="B636" s="138"/>
      <c r="C636" s="138"/>
      <c r="D636" s="138"/>
      <c r="E636" s="138"/>
      <c r="F636" s="138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137"/>
      <c r="B637" s="138"/>
      <c r="C637" s="138"/>
      <c r="D637" s="138"/>
      <c r="E637" s="138"/>
      <c r="F637" s="138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137"/>
      <c r="B638" s="138"/>
      <c r="C638" s="138"/>
      <c r="D638" s="138"/>
      <c r="E638" s="138"/>
      <c r="F638" s="138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137"/>
      <c r="B639" s="138"/>
      <c r="C639" s="138"/>
      <c r="D639" s="138"/>
      <c r="E639" s="138"/>
      <c r="F639" s="138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137"/>
      <c r="B640" s="138"/>
      <c r="C640" s="138"/>
      <c r="D640" s="138"/>
      <c r="E640" s="138"/>
      <c r="F640" s="138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137"/>
      <c r="B641" s="138"/>
      <c r="C641" s="138"/>
      <c r="D641" s="138"/>
      <c r="E641" s="138"/>
      <c r="F641" s="138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137"/>
      <c r="B642" s="138"/>
      <c r="C642" s="138"/>
      <c r="D642" s="138"/>
      <c r="E642" s="138"/>
      <c r="F642" s="138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137"/>
      <c r="B643" s="138"/>
      <c r="C643" s="138"/>
      <c r="D643" s="138"/>
      <c r="E643" s="138"/>
      <c r="F643" s="138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137"/>
      <c r="B644" s="138"/>
      <c r="C644" s="138"/>
      <c r="D644" s="138"/>
      <c r="E644" s="138"/>
      <c r="F644" s="138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137"/>
      <c r="B645" s="138"/>
      <c r="C645" s="138"/>
      <c r="D645" s="138"/>
      <c r="E645" s="138"/>
      <c r="F645" s="138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137"/>
      <c r="B646" s="138"/>
      <c r="C646" s="138"/>
      <c r="D646" s="138"/>
      <c r="E646" s="138"/>
      <c r="F646" s="138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137"/>
      <c r="B647" s="138"/>
      <c r="C647" s="138"/>
      <c r="D647" s="138"/>
      <c r="E647" s="138"/>
      <c r="F647" s="138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137"/>
      <c r="B648" s="138"/>
      <c r="C648" s="138"/>
      <c r="D648" s="138"/>
      <c r="E648" s="138"/>
      <c r="F648" s="138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137"/>
      <c r="B649" s="138"/>
      <c r="C649" s="138"/>
      <c r="D649" s="138"/>
      <c r="E649" s="138"/>
      <c r="F649" s="138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137"/>
      <c r="B650" s="138"/>
      <c r="C650" s="138"/>
      <c r="D650" s="138"/>
      <c r="E650" s="138"/>
      <c r="F650" s="138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137"/>
      <c r="B651" s="138"/>
      <c r="C651" s="138"/>
      <c r="D651" s="138"/>
      <c r="E651" s="138"/>
      <c r="F651" s="138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137"/>
      <c r="B652" s="138"/>
      <c r="C652" s="138"/>
      <c r="D652" s="138"/>
      <c r="E652" s="138"/>
      <c r="F652" s="138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137"/>
      <c r="B653" s="138"/>
      <c r="C653" s="138"/>
      <c r="D653" s="138"/>
      <c r="E653" s="138"/>
      <c r="F653" s="138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137"/>
      <c r="B654" s="138"/>
      <c r="C654" s="138"/>
      <c r="D654" s="138"/>
      <c r="E654" s="138"/>
      <c r="F654" s="138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137"/>
      <c r="B655" s="138"/>
      <c r="C655" s="138"/>
      <c r="D655" s="138"/>
      <c r="E655" s="138"/>
      <c r="F655" s="138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137"/>
      <c r="B656" s="138"/>
      <c r="C656" s="138"/>
      <c r="D656" s="138"/>
      <c r="E656" s="138"/>
      <c r="F656" s="138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137"/>
      <c r="B657" s="138"/>
      <c r="C657" s="138"/>
      <c r="D657" s="138"/>
      <c r="E657" s="138"/>
      <c r="F657" s="138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137"/>
      <c r="B658" s="138"/>
      <c r="C658" s="138"/>
      <c r="D658" s="138"/>
      <c r="E658" s="138"/>
      <c r="F658" s="138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137"/>
      <c r="B659" s="138"/>
      <c r="C659" s="138"/>
      <c r="D659" s="138"/>
      <c r="E659" s="138"/>
      <c r="F659" s="138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137"/>
      <c r="B660" s="138"/>
      <c r="C660" s="138"/>
      <c r="D660" s="138"/>
      <c r="E660" s="138"/>
      <c r="F660" s="138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137"/>
      <c r="B661" s="138"/>
      <c r="C661" s="138"/>
      <c r="D661" s="138"/>
      <c r="E661" s="138"/>
      <c r="F661" s="138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137"/>
      <c r="B662" s="138"/>
      <c r="C662" s="138"/>
      <c r="D662" s="138"/>
      <c r="E662" s="138"/>
      <c r="F662" s="138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137"/>
      <c r="B663" s="138"/>
      <c r="C663" s="138"/>
      <c r="D663" s="138"/>
      <c r="E663" s="138"/>
      <c r="F663" s="138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137"/>
      <c r="B664" s="138"/>
      <c r="C664" s="138"/>
      <c r="D664" s="138"/>
      <c r="E664" s="138"/>
      <c r="F664" s="138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137"/>
      <c r="B665" s="138"/>
      <c r="C665" s="138"/>
      <c r="D665" s="138"/>
      <c r="E665" s="138"/>
      <c r="F665" s="138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137"/>
      <c r="B666" s="138"/>
      <c r="C666" s="138"/>
      <c r="D666" s="138"/>
      <c r="E666" s="138"/>
      <c r="F666" s="138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137"/>
      <c r="B667" s="138"/>
      <c r="C667" s="138"/>
      <c r="D667" s="138"/>
      <c r="E667" s="138"/>
      <c r="F667" s="138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137"/>
      <c r="B668" s="138"/>
      <c r="C668" s="138"/>
      <c r="D668" s="138"/>
      <c r="E668" s="138"/>
      <c r="F668" s="138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137"/>
      <c r="B669" s="138"/>
      <c r="C669" s="138"/>
      <c r="D669" s="138"/>
      <c r="E669" s="138"/>
      <c r="F669" s="138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137"/>
      <c r="B670" s="138"/>
      <c r="C670" s="138"/>
      <c r="D670" s="138"/>
      <c r="E670" s="138"/>
      <c r="F670" s="138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137"/>
      <c r="B671" s="138"/>
      <c r="C671" s="138"/>
      <c r="D671" s="138"/>
      <c r="E671" s="138"/>
      <c r="F671" s="138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137"/>
      <c r="B672" s="138"/>
      <c r="C672" s="138"/>
      <c r="D672" s="138"/>
      <c r="E672" s="138"/>
      <c r="F672" s="138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137"/>
      <c r="B673" s="138"/>
      <c r="C673" s="138"/>
      <c r="D673" s="138"/>
      <c r="E673" s="138"/>
      <c r="F673" s="138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137"/>
      <c r="B674" s="138"/>
      <c r="C674" s="138"/>
      <c r="D674" s="138"/>
      <c r="E674" s="138"/>
      <c r="F674" s="138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137"/>
      <c r="B675" s="138"/>
      <c r="C675" s="138"/>
      <c r="D675" s="138"/>
      <c r="E675" s="138"/>
      <c r="F675" s="138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137"/>
      <c r="B676" s="138"/>
      <c r="C676" s="138"/>
      <c r="D676" s="138"/>
      <c r="E676" s="138"/>
      <c r="F676" s="138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137"/>
      <c r="B677" s="138"/>
      <c r="C677" s="138"/>
      <c r="D677" s="138"/>
      <c r="E677" s="138"/>
      <c r="F677" s="138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137"/>
      <c r="B678" s="138"/>
      <c r="C678" s="138"/>
      <c r="D678" s="138"/>
      <c r="E678" s="138"/>
      <c r="F678" s="138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137"/>
      <c r="B679" s="138"/>
      <c r="C679" s="138"/>
      <c r="D679" s="138"/>
      <c r="E679" s="138"/>
      <c r="F679" s="138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137"/>
      <c r="B680" s="138"/>
      <c r="C680" s="138"/>
      <c r="D680" s="138"/>
      <c r="E680" s="138"/>
      <c r="F680" s="138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137"/>
      <c r="B681" s="138"/>
      <c r="C681" s="138"/>
      <c r="D681" s="138"/>
      <c r="E681" s="138"/>
      <c r="F681" s="138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137"/>
      <c r="B682" s="138"/>
      <c r="C682" s="138"/>
      <c r="D682" s="138"/>
      <c r="E682" s="138"/>
      <c r="F682" s="138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137"/>
      <c r="B683" s="138"/>
      <c r="C683" s="138"/>
      <c r="D683" s="138"/>
      <c r="E683" s="138"/>
      <c r="F683" s="138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137"/>
      <c r="B684" s="138"/>
      <c r="C684" s="138"/>
      <c r="D684" s="138"/>
      <c r="E684" s="138"/>
      <c r="F684" s="138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137"/>
      <c r="B685" s="138"/>
      <c r="C685" s="138"/>
      <c r="D685" s="138"/>
      <c r="E685" s="138"/>
      <c r="F685" s="138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137"/>
      <c r="B686" s="138"/>
      <c r="C686" s="138"/>
      <c r="D686" s="138"/>
      <c r="E686" s="138"/>
      <c r="F686" s="138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137"/>
      <c r="B687" s="138"/>
      <c r="C687" s="138"/>
      <c r="D687" s="138"/>
      <c r="E687" s="138"/>
      <c r="F687" s="138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137"/>
      <c r="B688" s="138"/>
      <c r="C688" s="138"/>
      <c r="D688" s="138"/>
      <c r="E688" s="138"/>
      <c r="F688" s="138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137"/>
      <c r="B689" s="138"/>
      <c r="C689" s="138"/>
      <c r="D689" s="138"/>
      <c r="E689" s="138"/>
      <c r="F689" s="138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137"/>
      <c r="B690" s="138"/>
      <c r="C690" s="138"/>
      <c r="D690" s="138"/>
      <c r="E690" s="138"/>
      <c r="F690" s="138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137"/>
      <c r="B691" s="138"/>
      <c r="C691" s="138"/>
      <c r="D691" s="138"/>
      <c r="E691" s="138"/>
      <c r="F691" s="138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137"/>
      <c r="B692" s="138"/>
      <c r="C692" s="138"/>
      <c r="D692" s="138"/>
      <c r="E692" s="138"/>
      <c r="F692" s="138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137"/>
      <c r="B693" s="138"/>
      <c r="C693" s="138"/>
      <c r="D693" s="138"/>
      <c r="E693" s="138"/>
      <c r="F693" s="138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137"/>
      <c r="B694" s="138"/>
      <c r="C694" s="138"/>
      <c r="D694" s="138"/>
      <c r="E694" s="138"/>
      <c r="F694" s="138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137"/>
      <c r="B695" s="138"/>
      <c r="C695" s="138"/>
      <c r="D695" s="138"/>
      <c r="E695" s="138"/>
      <c r="F695" s="138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137"/>
      <c r="B696" s="138"/>
      <c r="C696" s="138"/>
      <c r="D696" s="138"/>
      <c r="E696" s="138"/>
      <c r="F696" s="138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137"/>
      <c r="B697" s="138"/>
      <c r="C697" s="138"/>
      <c r="D697" s="138"/>
      <c r="E697" s="138"/>
      <c r="F697" s="138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137"/>
      <c r="B698" s="138"/>
      <c r="C698" s="138"/>
      <c r="D698" s="138"/>
      <c r="E698" s="138"/>
      <c r="F698" s="138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137"/>
      <c r="B699" s="138"/>
      <c r="C699" s="138"/>
      <c r="D699" s="138"/>
      <c r="E699" s="138"/>
      <c r="F699" s="138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137"/>
      <c r="B700" s="138"/>
      <c r="C700" s="138"/>
      <c r="D700" s="138"/>
      <c r="E700" s="138"/>
      <c r="F700" s="138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137"/>
      <c r="B701" s="138"/>
      <c r="C701" s="138"/>
      <c r="D701" s="138"/>
      <c r="E701" s="138"/>
      <c r="F701" s="138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137"/>
      <c r="B702" s="138"/>
      <c r="C702" s="138"/>
      <c r="D702" s="138"/>
      <c r="E702" s="138"/>
      <c r="F702" s="138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137"/>
      <c r="B703" s="138"/>
      <c r="C703" s="138"/>
      <c r="D703" s="138"/>
      <c r="E703" s="138"/>
      <c r="F703" s="138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137"/>
      <c r="B704" s="138"/>
      <c r="C704" s="138"/>
      <c r="D704" s="138"/>
      <c r="E704" s="138"/>
      <c r="F704" s="138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137"/>
      <c r="B705" s="138"/>
      <c r="C705" s="138"/>
      <c r="D705" s="138"/>
      <c r="E705" s="138"/>
      <c r="F705" s="138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137"/>
      <c r="B706" s="138"/>
      <c r="C706" s="138"/>
      <c r="D706" s="138"/>
      <c r="E706" s="138"/>
      <c r="F706" s="138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137"/>
      <c r="B707" s="138"/>
      <c r="C707" s="138"/>
      <c r="D707" s="138"/>
      <c r="E707" s="138"/>
      <c r="F707" s="138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137"/>
      <c r="B708" s="138"/>
      <c r="C708" s="138"/>
      <c r="D708" s="138"/>
      <c r="E708" s="138"/>
      <c r="F708" s="138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137"/>
      <c r="B709" s="138"/>
      <c r="C709" s="138"/>
      <c r="D709" s="138"/>
      <c r="E709" s="138"/>
      <c r="F709" s="138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137"/>
      <c r="B710" s="138"/>
      <c r="C710" s="138"/>
      <c r="D710" s="138"/>
      <c r="E710" s="138"/>
      <c r="F710" s="138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137"/>
      <c r="B711" s="138"/>
      <c r="C711" s="138"/>
      <c r="D711" s="138"/>
      <c r="E711" s="138"/>
      <c r="F711" s="138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137"/>
      <c r="B712" s="138"/>
      <c r="C712" s="138"/>
      <c r="D712" s="138"/>
      <c r="E712" s="138"/>
      <c r="F712" s="138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137"/>
      <c r="B713" s="138"/>
      <c r="C713" s="138"/>
      <c r="D713" s="138"/>
      <c r="E713" s="138"/>
      <c r="F713" s="138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137"/>
      <c r="B714" s="138"/>
      <c r="C714" s="138"/>
      <c r="D714" s="138"/>
      <c r="E714" s="138"/>
      <c r="F714" s="138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137"/>
      <c r="B715" s="138"/>
      <c r="C715" s="138"/>
      <c r="D715" s="138"/>
      <c r="E715" s="138"/>
      <c r="F715" s="138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137"/>
      <c r="B716" s="138"/>
      <c r="C716" s="138"/>
      <c r="D716" s="138"/>
      <c r="E716" s="138"/>
      <c r="F716" s="138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137"/>
      <c r="B717" s="138"/>
      <c r="C717" s="138"/>
      <c r="D717" s="138"/>
      <c r="E717" s="138"/>
      <c r="F717" s="138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137"/>
      <c r="B718" s="138"/>
      <c r="C718" s="138"/>
      <c r="D718" s="138"/>
      <c r="E718" s="138"/>
      <c r="F718" s="138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137"/>
      <c r="B719" s="138"/>
      <c r="C719" s="138"/>
      <c r="D719" s="138"/>
      <c r="E719" s="138"/>
      <c r="F719" s="138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137"/>
      <c r="B720" s="138"/>
      <c r="C720" s="138"/>
      <c r="D720" s="138"/>
      <c r="E720" s="138"/>
      <c r="F720" s="138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137"/>
      <c r="B721" s="138"/>
      <c r="C721" s="138"/>
      <c r="D721" s="138"/>
      <c r="E721" s="138"/>
      <c r="F721" s="138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137"/>
      <c r="B722" s="138"/>
      <c r="C722" s="138"/>
      <c r="D722" s="138"/>
      <c r="E722" s="138"/>
      <c r="F722" s="138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137"/>
      <c r="B723" s="138"/>
      <c r="C723" s="138"/>
      <c r="D723" s="138"/>
      <c r="E723" s="138"/>
      <c r="F723" s="138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137"/>
      <c r="B724" s="138"/>
      <c r="C724" s="138"/>
      <c r="D724" s="138"/>
      <c r="E724" s="138"/>
      <c r="F724" s="138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137"/>
      <c r="B725" s="138"/>
      <c r="C725" s="138"/>
      <c r="D725" s="138"/>
      <c r="E725" s="138"/>
      <c r="F725" s="138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137"/>
      <c r="B726" s="138"/>
      <c r="C726" s="138"/>
      <c r="D726" s="138"/>
      <c r="E726" s="138"/>
      <c r="F726" s="138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137"/>
      <c r="B727" s="138"/>
      <c r="C727" s="138"/>
      <c r="D727" s="138"/>
      <c r="E727" s="138"/>
      <c r="F727" s="138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137"/>
      <c r="B728" s="138"/>
      <c r="C728" s="138"/>
      <c r="D728" s="138"/>
      <c r="E728" s="138"/>
      <c r="F728" s="138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137"/>
      <c r="B729" s="138"/>
      <c r="C729" s="138"/>
      <c r="D729" s="138"/>
      <c r="E729" s="138"/>
      <c r="F729" s="138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137"/>
      <c r="B730" s="138"/>
      <c r="C730" s="138"/>
      <c r="D730" s="138"/>
      <c r="E730" s="138"/>
      <c r="F730" s="138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137"/>
      <c r="B731" s="138"/>
      <c r="C731" s="138"/>
      <c r="D731" s="138"/>
      <c r="E731" s="138"/>
      <c r="F731" s="138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137"/>
      <c r="B732" s="138"/>
      <c r="C732" s="138"/>
      <c r="D732" s="138"/>
      <c r="E732" s="138"/>
      <c r="F732" s="138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137"/>
      <c r="B733" s="138"/>
      <c r="C733" s="138"/>
      <c r="D733" s="138"/>
      <c r="E733" s="138"/>
      <c r="F733" s="138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137"/>
      <c r="B734" s="138"/>
      <c r="C734" s="138"/>
      <c r="D734" s="138"/>
      <c r="E734" s="138"/>
      <c r="F734" s="138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137"/>
      <c r="B735" s="138"/>
      <c r="C735" s="138"/>
      <c r="D735" s="138"/>
      <c r="E735" s="138"/>
      <c r="F735" s="138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137"/>
      <c r="B736" s="138"/>
      <c r="C736" s="138"/>
      <c r="D736" s="138"/>
      <c r="E736" s="138"/>
      <c r="F736" s="138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137"/>
      <c r="B737" s="138"/>
      <c r="C737" s="138"/>
      <c r="D737" s="138"/>
      <c r="E737" s="138"/>
      <c r="F737" s="138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137"/>
      <c r="B738" s="138"/>
      <c r="C738" s="138"/>
      <c r="D738" s="138"/>
      <c r="E738" s="138"/>
      <c r="F738" s="138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137"/>
      <c r="B739" s="138"/>
      <c r="C739" s="138"/>
      <c r="D739" s="138"/>
      <c r="E739" s="138"/>
      <c r="F739" s="138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137"/>
      <c r="B740" s="138"/>
      <c r="C740" s="138"/>
      <c r="D740" s="138"/>
      <c r="E740" s="138"/>
      <c r="F740" s="138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137"/>
      <c r="B741" s="138"/>
      <c r="C741" s="138"/>
      <c r="D741" s="138"/>
      <c r="E741" s="138"/>
      <c r="F741" s="138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137"/>
      <c r="B742" s="138"/>
      <c r="C742" s="138"/>
      <c r="D742" s="138"/>
      <c r="E742" s="138"/>
      <c r="F742" s="138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137"/>
      <c r="B743" s="138"/>
      <c r="C743" s="138"/>
      <c r="D743" s="138"/>
      <c r="E743" s="138"/>
      <c r="F743" s="138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137"/>
      <c r="B744" s="138"/>
      <c r="C744" s="138"/>
      <c r="D744" s="138"/>
      <c r="E744" s="138"/>
      <c r="F744" s="138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137"/>
      <c r="B745" s="138"/>
      <c r="C745" s="138"/>
      <c r="D745" s="138"/>
      <c r="E745" s="138"/>
      <c r="F745" s="138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137"/>
      <c r="B746" s="138"/>
      <c r="C746" s="138"/>
      <c r="D746" s="138"/>
      <c r="E746" s="138"/>
      <c r="F746" s="138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137"/>
      <c r="B747" s="138"/>
      <c r="C747" s="138"/>
      <c r="D747" s="138"/>
      <c r="E747" s="138"/>
      <c r="F747" s="138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137"/>
      <c r="B748" s="138"/>
      <c r="C748" s="138"/>
      <c r="D748" s="138"/>
      <c r="E748" s="138"/>
      <c r="F748" s="138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137"/>
      <c r="B749" s="138"/>
      <c r="C749" s="138"/>
      <c r="D749" s="138"/>
      <c r="E749" s="138"/>
      <c r="F749" s="138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137"/>
      <c r="B750" s="138"/>
      <c r="C750" s="138"/>
      <c r="D750" s="138"/>
      <c r="E750" s="138"/>
      <c r="F750" s="138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137"/>
      <c r="B751" s="138"/>
      <c r="C751" s="138"/>
      <c r="D751" s="138"/>
      <c r="E751" s="138"/>
      <c r="F751" s="138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137"/>
      <c r="B752" s="138"/>
      <c r="C752" s="138"/>
      <c r="D752" s="138"/>
      <c r="E752" s="138"/>
      <c r="F752" s="138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137"/>
      <c r="B753" s="138"/>
      <c r="C753" s="138"/>
      <c r="D753" s="138"/>
      <c r="E753" s="138"/>
      <c r="F753" s="138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137"/>
      <c r="B754" s="138"/>
      <c r="C754" s="138"/>
      <c r="D754" s="138"/>
      <c r="E754" s="138"/>
      <c r="F754" s="138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137"/>
      <c r="B755" s="138"/>
      <c r="C755" s="138"/>
      <c r="D755" s="138"/>
      <c r="E755" s="138"/>
      <c r="F755" s="138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137"/>
      <c r="B756" s="138"/>
      <c r="C756" s="138"/>
      <c r="D756" s="138"/>
      <c r="E756" s="138"/>
      <c r="F756" s="138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137"/>
      <c r="B757" s="138"/>
      <c r="C757" s="138"/>
      <c r="D757" s="138"/>
      <c r="E757" s="138"/>
      <c r="F757" s="138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137"/>
      <c r="B758" s="138"/>
      <c r="C758" s="138"/>
      <c r="D758" s="138"/>
      <c r="E758" s="138"/>
      <c r="F758" s="138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137"/>
      <c r="B759" s="138"/>
      <c r="C759" s="138"/>
      <c r="D759" s="138"/>
      <c r="E759" s="138"/>
      <c r="F759" s="138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137"/>
      <c r="B760" s="138"/>
      <c r="C760" s="138"/>
      <c r="D760" s="138"/>
      <c r="E760" s="138"/>
      <c r="F760" s="138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137"/>
      <c r="B761" s="138"/>
      <c r="C761" s="138"/>
      <c r="D761" s="138"/>
      <c r="E761" s="138"/>
      <c r="F761" s="138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137"/>
      <c r="B762" s="138"/>
      <c r="C762" s="138"/>
      <c r="D762" s="138"/>
      <c r="E762" s="138"/>
      <c r="F762" s="138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137"/>
      <c r="B763" s="138"/>
      <c r="C763" s="138"/>
      <c r="D763" s="138"/>
      <c r="E763" s="138"/>
      <c r="F763" s="138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137"/>
      <c r="B764" s="138"/>
      <c r="C764" s="138"/>
      <c r="D764" s="138"/>
      <c r="E764" s="138"/>
      <c r="F764" s="138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137"/>
      <c r="B765" s="138"/>
      <c r="C765" s="138"/>
      <c r="D765" s="138"/>
      <c r="E765" s="138"/>
      <c r="F765" s="138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137"/>
      <c r="B766" s="138"/>
      <c r="C766" s="138"/>
      <c r="D766" s="138"/>
      <c r="E766" s="138"/>
      <c r="F766" s="138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137"/>
      <c r="B767" s="138"/>
      <c r="C767" s="138"/>
      <c r="D767" s="138"/>
      <c r="E767" s="138"/>
      <c r="F767" s="138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137"/>
      <c r="B768" s="138"/>
      <c r="C768" s="138"/>
      <c r="D768" s="138"/>
      <c r="E768" s="138"/>
      <c r="F768" s="138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137"/>
      <c r="B769" s="138"/>
      <c r="C769" s="138"/>
      <c r="D769" s="138"/>
      <c r="E769" s="138"/>
      <c r="F769" s="138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137"/>
      <c r="B770" s="138"/>
      <c r="C770" s="138"/>
      <c r="D770" s="138"/>
      <c r="E770" s="138"/>
      <c r="F770" s="138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137"/>
      <c r="B771" s="138"/>
      <c r="C771" s="138"/>
      <c r="D771" s="138"/>
      <c r="E771" s="138"/>
      <c r="F771" s="138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137"/>
      <c r="B772" s="138"/>
      <c r="C772" s="138"/>
      <c r="D772" s="138"/>
      <c r="E772" s="138"/>
      <c r="F772" s="138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137"/>
      <c r="B773" s="138"/>
      <c r="C773" s="138"/>
      <c r="D773" s="138"/>
      <c r="E773" s="138"/>
      <c r="F773" s="138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137"/>
      <c r="B774" s="138"/>
      <c r="C774" s="138"/>
      <c r="D774" s="138"/>
      <c r="E774" s="138"/>
      <c r="F774" s="138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137"/>
      <c r="B775" s="138"/>
      <c r="C775" s="138"/>
      <c r="D775" s="138"/>
      <c r="E775" s="138"/>
      <c r="F775" s="138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137"/>
      <c r="B776" s="138"/>
      <c r="C776" s="138"/>
      <c r="D776" s="138"/>
      <c r="E776" s="138"/>
      <c r="F776" s="138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137"/>
      <c r="B777" s="138"/>
      <c r="C777" s="138"/>
      <c r="D777" s="138"/>
      <c r="E777" s="138"/>
      <c r="F777" s="138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137"/>
      <c r="B778" s="138"/>
      <c r="C778" s="138"/>
      <c r="D778" s="138"/>
      <c r="E778" s="138"/>
      <c r="F778" s="138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137"/>
      <c r="B779" s="138"/>
      <c r="C779" s="138"/>
      <c r="D779" s="138"/>
      <c r="E779" s="138"/>
      <c r="F779" s="138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137"/>
      <c r="B780" s="138"/>
      <c r="C780" s="138"/>
      <c r="D780" s="138"/>
      <c r="E780" s="138"/>
      <c r="F780" s="138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137"/>
      <c r="B781" s="138"/>
      <c r="C781" s="138"/>
      <c r="D781" s="138"/>
      <c r="E781" s="138"/>
      <c r="F781" s="138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137"/>
      <c r="B782" s="138"/>
      <c r="C782" s="138"/>
      <c r="D782" s="138"/>
      <c r="E782" s="138"/>
      <c r="F782" s="138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137"/>
      <c r="B783" s="138"/>
      <c r="C783" s="138"/>
      <c r="D783" s="138"/>
      <c r="E783" s="138"/>
      <c r="F783" s="138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137"/>
      <c r="B784" s="138"/>
      <c r="C784" s="138"/>
      <c r="D784" s="138"/>
      <c r="E784" s="138"/>
      <c r="F784" s="138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137"/>
      <c r="B785" s="138"/>
      <c r="C785" s="138"/>
      <c r="D785" s="138"/>
      <c r="E785" s="138"/>
      <c r="F785" s="138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137"/>
      <c r="B786" s="138"/>
      <c r="C786" s="138"/>
      <c r="D786" s="138"/>
      <c r="E786" s="138"/>
      <c r="F786" s="138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137"/>
      <c r="B787" s="138"/>
      <c r="C787" s="138"/>
      <c r="D787" s="138"/>
      <c r="E787" s="138"/>
      <c r="F787" s="138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137"/>
      <c r="B788" s="138"/>
      <c r="C788" s="138"/>
      <c r="D788" s="138"/>
      <c r="E788" s="138"/>
      <c r="F788" s="138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137"/>
      <c r="B789" s="138"/>
      <c r="C789" s="138"/>
      <c r="D789" s="138"/>
      <c r="E789" s="138"/>
      <c r="F789" s="138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137"/>
      <c r="B790" s="138"/>
      <c r="C790" s="138"/>
      <c r="D790" s="138"/>
      <c r="E790" s="138"/>
      <c r="F790" s="138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137"/>
      <c r="B791" s="138"/>
      <c r="C791" s="138"/>
      <c r="D791" s="138"/>
      <c r="E791" s="138"/>
      <c r="F791" s="138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137"/>
      <c r="B792" s="138"/>
      <c r="C792" s="138"/>
      <c r="D792" s="138"/>
      <c r="E792" s="138"/>
      <c r="F792" s="138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137"/>
      <c r="B793" s="138"/>
      <c r="C793" s="138"/>
      <c r="D793" s="138"/>
      <c r="E793" s="138"/>
      <c r="F793" s="138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137"/>
      <c r="B794" s="138"/>
      <c r="C794" s="138"/>
      <c r="D794" s="138"/>
      <c r="E794" s="138"/>
      <c r="F794" s="138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137"/>
      <c r="B795" s="138"/>
      <c r="C795" s="138"/>
      <c r="D795" s="138"/>
      <c r="E795" s="138"/>
      <c r="F795" s="138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137"/>
      <c r="B796" s="138"/>
      <c r="C796" s="138"/>
      <c r="D796" s="138"/>
      <c r="E796" s="138"/>
      <c r="F796" s="138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137"/>
      <c r="B797" s="138"/>
      <c r="C797" s="138"/>
      <c r="D797" s="138"/>
      <c r="E797" s="138"/>
      <c r="F797" s="138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137"/>
      <c r="B798" s="138"/>
      <c r="C798" s="138"/>
      <c r="D798" s="138"/>
      <c r="E798" s="138"/>
      <c r="F798" s="138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137"/>
      <c r="B799" s="138"/>
      <c r="C799" s="138"/>
      <c r="D799" s="138"/>
      <c r="E799" s="138"/>
      <c r="F799" s="138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137"/>
      <c r="B800" s="138"/>
      <c r="C800" s="138"/>
      <c r="D800" s="138"/>
      <c r="E800" s="138"/>
      <c r="F800" s="138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137"/>
      <c r="B801" s="138"/>
      <c r="C801" s="138"/>
      <c r="D801" s="138"/>
      <c r="E801" s="138"/>
      <c r="F801" s="138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137"/>
      <c r="B802" s="138"/>
      <c r="C802" s="138"/>
      <c r="D802" s="138"/>
      <c r="E802" s="138"/>
      <c r="F802" s="138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137"/>
      <c r="B803" s="138"/>
      <c r="C803" s="138"/>
      <c r="D803" s="138"/>
      <c r="E803" s="138"/>
      <c r="F803" s="138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137"/>
      <c r="B804" s="138"/>
      <c r="C804" s="138"/>
      <c r="D804" s="138"/>
      <c r="E804" s="138"/>
      <c r="F804" s="138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137"/>
      <c r="B805" s="138"/>
      <c r="C805" s="138"/>
      <c r="D805" s="138"/>
      <c r="E805" s="138"/>
      <c r="F805" s="138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137"/>
      <c r="B806" s="138"/>
      <c r="C806" s="138"/>
      <c r="D806" s="138"/>
      <c r="E806" s="138"/>
      <c r="F806" s="138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137"/>
      <c r="B807" s="138"/>
      <c r="C807" s="138"/>
      <c r="D807" s="138"/>
      <c r="E807" s="138"/>
      <c r="F807" s="138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137"/>
      <c r="B808" s="138"/>
      <c r="C808" s="138"/>
      <c r="D808" s="138"/>
      <c r="E808" s="138"/>
      <c r="F808" s="138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137"/>
      <c r="B809" s="138"/>
      <c r="C809" s="138"/>
      <c r="D809" s="138"/>
      <c r="E809" s="138"/>
      <c r="F809" s="138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137"/>
      <c r="B810" s="138"/>
      <c r="C810" s="138"/>
      <c r="D810" s="138"/>
      <c r="E810" s="138"/>
      <c r="F810" s="138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137"/>
      <c r="B811" s="138"/>
      <c r="C811" s="138"/>
      <c r="D811" s="138"/>
      <c r="E811" s="138"/>
      <c r="F811" s="138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137"/>
      <c r="B812" s="138"/>
      <c r="C812" s="138"/>
      <c r="D812" s="138"/>
      <c r="E812" s="138"/>
      <c r="F812" s="138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137"/>
      <c r="B813" s="138"/>
      <c r="C813" s="138"/>
      <c r="D813" s="138"/>
      <c r="E813" s="138"/>
      <c r="F813" s="138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137"/>
      <c r="B814" s="138"/>
      <c r="C814" s="138"/>
      <c r="D814" s="138"/>
      <c r="E814" s="138"/>
      <c r="F814" s="138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137"/>
      <c r="B815" s="138"/>
      <c r="C815" s="138"/>
      <c r="D815" s="138"/>
      <c r="E815" s="138"/>
      <c r="F815" s="138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137"/>
      <c r="B816" s="138"/>
      <c r="C816" s="138"/>
      <c r="D816" s="138"/>
      <c r="E816" s="138"/>
      <c r="F816" s="138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137"/>
      <c r="B817" s="138"/>
      <c r="C817" s="138"/>
      <c r="D817" s="138"/>
      <c r="E817" s="138"/>
      <c r="F817" s="138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137"/>
      <c r="B818" s="138"/>
      <c r="C818" s="138"/>
      <c r="D818" s="138"/>
      <c r="E818" s="138"/>
      <c r="F818" s="138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137"/>
      <c r="B819" s="138"/>
      <c r="C819" s="138"/>
      <c r="D819" s="138"/>
      <c r="E819" s="138"/>
      <c r="F819" s="138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137"/>
      <c r="B820" s="138"/>
      <c r="C820" s="138"/>
      <c r="D820" s="138"/>
      <c r="E820" s="138"/>
      <c r="F820" s="138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137"/>
      <c r="B821" s="138"/>
      <c r="C821" s="138"/>
      <c r="D821" s="138"/>
      <c r="E821" s="138"/>
      <c r="F821" s="138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137"/>
      <c r="B822" s="138"/>
      <c r="C822" s="138"/>
      <c r="D822" s="138"/>
      <c r="E822" s="138"/>
      <c r="F822" s="138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137"/>
      <c r="B823" s="138"/>
      <c r="C823" s="138"/>
      <c r="D823" s="138"/>
      <c r="E823" s="138"/>
      <c r="F823" s="138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137"/>
      <c r="B824" s="138"/>
      <c r="C824" s="138"/>
      <c r="D824" s="138"/>
      <c r="E824" s="138"/>
      <c r="F824" s="138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137"/>
      <c r="B825" s="138"/>
      <c r="C825" s="138"/>
      <c r="D825" s="138"/>
      <c r="E825" s="138"/>
      <c r="F825" s="138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137"/>
      <c r="B826" s="138"/>
      <c r="C826" s="138"/>
      <c r="D826" s="138"/>
      <c r="E826" s="138"/>
      <c r="F826" s="138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137"/>
      <c r="B827" s="138"/>
      <c r="C827" s="138"/>
      <c r="D827" s="138"/>
      <c r="E827" s="138"/>
      <c r="F827" s="138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137"/>
      <c r="B828" s="138"/>
      <c r="C828" s="138"/>
      <c r="D828" s="138"/>
      <c r="E828" s="138"/>
      <c r="F828" s="138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137"/>
      <c r="B829" s="138"/>
      <c r="C829" s="138"/>
      <c r="D829" s="138"/>
      <c r="E829" s="138"/>
      <c r="F829" s="138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137"/>
      <c r="B830" s="138"/>
      <c r="C830" s="138"/>
      <c r="D830" s="138"/>
      <c r="E830" s="138"/>
      <c r="F830" s="138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137"/>
      <c r="B831" s="138"/>
      <c r="C831" s="138"/>
      <c r="D831" s="138"/>
      <c r="E831" s="138"/>
      <c r="F831" s="138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137"/>
      <c r="B832" s="138"/>
      <c r="C832" s="138"/>
      <c r="D832" s="138"/>
      <c r="E832" s="138"/>
      <c r="F832" s="138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137"/>
      <c r="B833" s="138"/>
      <c r="C833" s="138"/>
      <c r="D833" s="138"/>
      <c r="E833" s="138"/>
      <c r="F833" s="138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137"/>
      <c r="B834" s="138"/>
      <c r="C834" s="138"/>
      <c r="D834" s="138"/>
      <c r="E834" s="138"/>
      <c r="F834" s="138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137"/>
      <c r="B835" s="138"/>
      <c r="C835" s="138"/>
      <c r="D835" s="138"/>
      <c r="E835" s="138"/>
      <c r="F835" s="138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137"/>
      <c r="B836" s="138"/>
      <c r="C836" s="138"/>
      <c r="D836" s="138"/>
      <c r="E836" s="138"/>
      <c r="F836" s="138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137"/>
      <c r="B837" s="138"/>
      <c r="C837" s="138"/>
      <c r="D837" s="138"/>
      <c r="E837" s="138"/>
      <c r="F837" s="138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137"/>
      <c r="B838" s="138"/>
      <c r="C838" s="138"/>
      <c r="D838" s="138"/>
      <c r="E838" s="138"/>
      <c r="F838" s="138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137"/>
      <c r="B839" s="138"/>
      <c r="C839" s="138"/>
      <c r="D839" s="138"/>
      <c r="E839" s="138"/>
      <c r="F839" s="138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137"/>
      <c r="B840" s="138"/>
      <c r="C840" s="138"/>
      <c r="D840" s="138"/>
      <c r="E840" s="138"/>
      <c r="F840" s="138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137"/>
      <c r="B841" s="138"/>
      <c r="C841" s="138"/>
      <c r="D841" s="138"/>
      <c r="E841" s="138"/>
      <c r="F841" s="138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137"/>
      <c r="B842" s="138"/>
      <c r="C842" s="138"/>
      <c r="D842" s="138"/>
      <c r="E842" s="138"/>
      <c r="F842" s="138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137"/>
      <c r="B843" s="138"/>
      <c r="C843" s="138"/>
      <c r="D843" s="138"/>
      <c r="E843" s="138"/>
      <c r="F843" s="138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137"/>
      <c r="B844" s="138"/>
      <c r="C844" s="138"/>
      <c r="D844" s="138"/>
      <c r="E844" s="138"/>
      <c r="F844" s="138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137"/>
      <c r="B845" s="138"/>
      <c r="C845" s="138"/>
      <c r="D845" s="138"/>
      <c r="E845" s="138"/>
      <c r="F845" s="138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137"/>
      <c r="B846" s="138"/>
      <c r="C846" s="138"/>
      <c r="D846" s="138"/>
      <c r="E846" s="138"/>
      <c r="F846" s="138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137"/>
      <c r="B847" s="138"/>
      <c r="C847" s="138"/>
      <c r="D847" s="138"/>
      <c r="E847" s="138"/>
      <c r="F847" s="138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137"/>
      <c r="B848" s="138"/>
      <c r="C848" s="138"/>
      <c r="D848" s="138"/>
      <c r="E848" s="138"/>
      <c r="F848" s="138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137"/>
      <c r="B849" s="138"/>
      <c r="C849" s="138"/>
      <c r="D849" s="138"/>
      <c r="E849" s="138"/>
      <c r="F849" s="138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137"/>
      <c r="B850" s="138"/>
      <c r="C850" s="138"/>
      <c r="D850" s="138"/>
      <c r="E850" s="138"/>
      <c r="F850" s="138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137"/>
      <c r="B851" s="138"/>
      <c r="C851" s="138"/>
      <c r="D851" s="138"/>
      <c r="E851" s="138"/>
      <c r="F851" s="138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137"/>
      <c r="B852" s="138"/>
      <c r="C852" s="138"/>
      <c r="D852" s="138"/>
      <c r="E852" s="138"/>
      <c r="F852" s="138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137"/>
      <c r="B853" s="138"/>
      <c r="C853" s="138"/>
      <c r="D853" s="138"/>
      <c r="E853" s="138"/>
      <c r="F853" s="138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137"/>
      <c r="B854" s="138"/>
      <c r="C854" s="138"/>
      <c r="D854" s="138"/>
      <c r="E854" s="138"/>
      <c r="F854" s="138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137"/>
      <c r="B855" s="138"/>
      <c r="C855" s="138"/>
      <c r="D855" s="138"/>
      <c r="E855" s="138"/>
      <c r="F855" s="138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137"/>
      <c r="B856" s="138"/>
      <c r="C856" s="138"/>
      <c r="D856" s="138"/>
      <c r="E856" s="138"/>
      <c r="F856" s="138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137"/>
      <c r="B857" s="138"/>
      <c r="C857" s="138"/>
      <c r="D857" s="138"/>
      <c r="E857" s="138"/>
      <c r="F857" s="138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137"/>
      <c r="B858" s="138"/>
      <c r="C858" s="138"/>
      <c r="D858" s="138"/>
      <c r="E858" s="138"/>
      <c r="F858" s="138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137"/>
      <c r="B859" s="138"/>
      <c r="C859" s="138"/>
      <c r="D859" s="138"/>
      <c r="E859" s="138"/>
      <c r="F859" s="138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137"/>
      <c r="B860" s="138"/>
      <c r="C860" s="138"/>
      <c r="D860" s="138"/>
      <c r="E860" s="138"/>
      <c r="F860" s="138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137"/>
      <c r="B861" s="138"/>
      <c r="C861" s="138"/>
      <c r="D861" s="138"/>
      <c r="E861" s="138"/>
      <c r="F861" s="138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137"/>
      <c r="B862" s="138"/>
      <c r="C862" s="138"/>
      <c r="D862" s="138"/>
      <c r="E862" s="138"/>
      <c r="F862" s="138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137"/>
      <c r="B863" s="138"/>
      <c r="C863" s="138"/>
      <c r="D863" s="138"/>
      <c r="E863" s="138"/>
      <c r="F863" s="138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137"/>
      <c r="B864" s="138"/>
      <c r="C864" s="138"/>
      <c r="D864" s="138"/>
      <c r="E864" s="138"/>
      <c r="F864" s="138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137"/>
      <c r="B865" s="138"/>
      <c r="C865" s="138"/>
      <c r="D865" s="138"/>
      <c r="E865" s="138"/>
      <c r="F865" s="138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137"/>
      <c r="B866" s="138"/>
      <c r="C866" s="138"/>
      <c r="D866" s="138"/>
      <c r="E866" s="138"/>
      <c r="F866" s="138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137"/>
      <c r="B867" s="138"/>
      <c r="C867" s="138"/>
      <c r="D867" s="138"/>
      <c r="E867" s="138"/>
      <c r="F867" s="138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137"/>
      <c r="B868" s="138"/>
      <c r="C868" s="138"/>
      <c r="D868" s="138"/>
      <c r="E868" s="138"/>
      <c r="F868" s="138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137"/>
      <c r="B869" s="138"/>
      <c r="C869" s="138"/>
      <c r="D869" s="138"/>
      <c r="E869" s="138"/>
      <c r="F869" s="138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137"/>
      <c r="B870" s="138"/>
      <c r="C870" s="138"/>
      <c r="D870" s="138"/>
      <c r="E870" s="138"/>
      <c r="F870" s="138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137"/>
      <c r="B871" s="138"/>
      <c r="C871" s="138"/>
      <c r="D871" s="138"/>
      <c r="E871" s="138"/>
      <c r="F871" s="138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137"/>
      <c r="B872" s="138"/>
      <c r="C872" s="138"/>
      <c r="D872" s="138"/>
      <c r="E872" s="138"/>
      <c r="F872" s="138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137"/>
      <c r="B873" s="138"/>
      <c r="C873" s="138"/>
      <c r="D873" s="138"/>
      <c r="E873" s="138"/>
      <c r="F873" s="138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137"/>
      <c r="B874" s="138"/>
      <c r="C874" s="138"/>
      <c r="D874" s="138"/>
      <c r="E874" s="138"/>
      <c r="F874" s="138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137"/>
      <c r="B875" s="138"/>
      <c r="C875" s="138"/>
      <c r="D875" s="138"/>
      <c r="E875" s="138"/>
      <c r="F875" s="138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137"/>
      <c r="B876" s="138"/>
      <c r="C876" s="138"/>
      <c r="D876" s="138"/>
      <c r="E876" s="138"/>
      <c r="F876" s="138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137"/>
      <c r="B877" s="138"/>
      <c r="C877" s="138"/>
      <c r="D877" s="138"/>
      <c r="E877" s="138"/>
      <c r="F877" s="138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137"/>
      <c r="B878" s="138"/>
      <c r="C878" s="138"/>
      <c r="D878" s="138"/>
      <c r="E878" s="138"/>
      <c r="F878" s="138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137"/>
      <c r="B879" s="138"/>
      <c r="C879" s="138"/>
      <c r="D879" s="138"/>
      <c r="E879" s="138"/>
      <c r="F879" s="138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137"/>
      <c r="B880" s="138"/>
      <c r="C880" s="138"/>
      <c r="D880" s="138"/>
      <c r="E880" s="138"/>
      <c r="F880" s="138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137"/>
      <c r="B881" s="138"/>
      <c r="C881" s="138"/>
      <c r="D881" s="138"/>
      <c r="E881" s="138"/>
      <c r="F881" s="138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137"/>
      <c r="B882" s="138"/>
      <c r="C882" s="138"/>
      <c r="D882" s="138"/>
      <c r="E882" s="138"/>
      <c r="F882" s="138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137"/>
      <c r="B883" s="138"/>
      <c r="C883" s="138"/>
      <c r="D883" s="138"/>
      <c r="E883" s="138"/>
      <c r="F883" s="138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137"/>
      <c r="B884" s="138"/>
      <c r="C884" s="138"/>
      <c r="D884" s="138"/>
      <c r="E884" s="138"/>
      <c r="F884" s="138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137"/>
      <c r="B885" s="138"/>
      <c r="C885" s="138"/>
      <c r="D885" s="138"/>
      <c r="E885" s="138"/>
      <c r="F885" s="138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137"/>
      <c r="B886" s="138"/>
      <c r="C886" s="138"/>
      <c r="D886" s="138"/>
      <c r="E886" s="138"/>
      <c r="F886" s="138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137"/>
      <c r="B887" s="138"/>
      <c r="C887" s="138"/>
      <c r="D887" s="138"/>
      <c r="E887" s="138"/>
      <c r="F887" s="138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137"/>
      <c r="B888" s="138"/>
      <c r="C888" s="138"/>
      <c r="D888" s="138"/>
      <c r="E888" s="138"/>
      <c r="F888" s="138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137"/>
      <c r="B889" s="138"/>
      <c r="C889" s="138"/>
      <c r="D889" s="138"/>
      <c r="E889" s="138"/>
      <c r="F889" s="138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137"/>
      <c r="B890" s="138"/>
      <c r="C890" s="138"/>
      <c r="D890" s="138"/>
      <c r="E890" s="138"/>
      <c r="F890" s="138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137"/>
      <c r="B891" s="138"/>
      <c r="C891" s="138"/>
      <c r="D891" s="138"/>
      <c r="E891" s="138"/>
      <c r="F891" s="138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137"/>
      <c r="B892" s="138"/>
      <c r="C892" s="138"/>
      <c r="D892" s="138"/>
      <c r="E892" s="138"/>
      <c r="F892" s="138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137"/>
      <c r="B893" s="138"/>
      <c r="C893" s="138"/>
      <c r="D893" s="138"/>
      <c r="E893" s="138"/>
      <c r="F893" s="138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137"/>
      <c r="B894" s="138"/>
      <c r="C894" s="138"/>
      <c r="D894" s="138"/>
      <c r="E894" s="138"/>
      <c r="F894" s="138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137"/>
      <c r="B895" s="138"/>
      <c r="C895" s="138"/>
      <c r="D895" s="138"/>
      <c r="E895" s="138"/>
      <c r="F895" s="138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137"/>
      <c r="B896" s="138"/>
      <c r="C896" s="138"/>
      <c r="D896" s="138"/>
      <c r="E896" s="138"/>
      <c r="F896" s="138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137"/>
      <c r="B897" s="138"/>
      <c r="C897" s="138"/>
      <c r="D897" s="138"/>
      <c r="E897" s="138"/>
      <c r="F897" s="138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137"/>
      <c r="B898" s="138"/>
      <c r="C898" s="138"/>
      <c r="D898" s="138"/>
      <c r="E898" s="138"/>
      <c r="F898" s="138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137"/>
      <c r="B899" s="138"/>
      <c r="C899" s="138"/>
      <c r="D899" s="138"/>
      <c r="E899" s="138"/>
      <c r="F899" s="138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137"/>
      <c r="B900" s="138"/>
      <c r="C900" s="138"/>
      <c r="D900" s="138"/>
      <c r="E900" s="138"/>
      <c r="F900" s="138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137"/>
      <c r="B901" s="138"/>
      <c r="C901" s="138"/>
      <c r="D901" s="138"/>
      <c r="E901" s="138"/>
      <c r="F901" s="138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137"/>
      <c r="B902" s="138"/>
      <c r="C902" s="138"/>
      <c r="D902" s="138"/>
      <c r="E902" s="138"/>
      <c r="F902" s="138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137"/>
      <c r="B903" s="138"/>
      <c r="C903" s="138"/>
      <c r="D903" s="138"/>
      <c r="E903" s="138"/>
      <c r="F903" s="138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137"/>
      <c r="B904" s="138"/>
      <c r="C904" s="138"/>
      <c r="D904" s="138"/>
      <c r="E904" s="138"/>
      <c r="F904" s="138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137"/>
      <c r="B905" s="138"/>
      <c r="C905" s="138"/>
      <c r="D905" s="138"/>
      <c r="E905" s="138"/>
      <c r="F905" s="138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137"/>
      <c r="B906" s="138"/>
      <c r="C906" s="138"/>
      <c r="D906" s="138"/>
      <c r="E906" s="138"/>
      <c r="F906" s="138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137"/>
      <c r="B907" s="138"/>
      <c r="C907" s="138"/>
      <c r="D907" s="138"/>
      <c r="E907" s="138"/>
      <c r="F907" s="138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137"/>
      <c r="B908" s="138"/>
      <c r="C908" s="138"/>
      <c r="D908" s="138"/>
      <c r="E908" s="138"/>
      <c r="F908" s="138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137"/>
      <c r="B909" s="138"/>
      <c r="C909" s="138"/>
      <c r="D909" s="138"/>
      <c r="E909" s="138"/>
      <c r="F909" s="138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137"/>
      <c r="B910" s="138"/>
      <c r="C910" s="138"/>
      <c r="D910" s="138"/>
      <c r="E910" s="138"/>
      <c r="F910" s="138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137"/>
      <c r="B911" s="138"/>
      <c r="C911" s="138"/>
      <c r="D911" s="138"/>
      <c r="E911" s="138"/>
      <c r="F911" s="138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137"/>
      <c r="B912" s="138"/>
      <c r="C912" s="138"/>
      <c r="D912" s="138"/>
      <c r="E912" s="138"/>
      <c r="F912" s="138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137"/>
      <c r="B913" s="138"/>
      <c r="C913" s="138"/>
      <c r="D913" s="138"/>
      <c r="E913" s="138"/>
      <c r="F913" s="138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137"/>
      <c r="B914" s="138"/>
      <c r="C914" s="138"/>
      <c r="D914" s="138"/>
      <c r="E914" s="138"/>
      <c r="F914" s="138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137"/>
      <c r="B915" s="138"/>
      <c r="C915" s="138"/>
      <c r="D915" s="138"/>
      <c r="E915" s="138"/>
      <c r="F915" s="138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137"/>
      <c r="B916" s="138"/>
      <c r="C916" s="138"/>
      <c r="D916" s="138"/>
      <c r="E916" s="138"/>
      <c r="F916" s="138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137"/>
      <c r="B917" s="138"/>
      <c r="C917" s="138"/>
      <c r="D917" s="138"/>
      <c r="E917" s="138"/>
      <c r="F917" s="138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137"/>
      <c r="B918" s="138"/>
      <c r="C918" s="138"/>
      <c r="D918" s="138"/>
      <c r="E918" s="138"/>
      <c r="F918" s="138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137"/>
      <c r="B919" s="138"/>
      <c r="C919" s="138"/>
      <c r="D919" s="138"/>
      <c r="E919" s="138"/>
      <c r="F919" s="138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137"/>
      <c r="B920" s="138"/>
      <c r="C920" s="138"/>
      <c r="D920" s="138"/>
      <c r="E920" s="138"/>
      <c r="F920" s="138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137"/>
      <c r="B921" s="138"/>
      <c r="C921" s="138"/>
      <c r="D921" s="138"/>
      <c r="E921" s="138"/>
      <c r="F921" s="138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137"/>
      <c r="B922" s="138"/>
      <c r="C922" s="138"/>
      <c r="D922" s="138"/>
      <c r="E922" s="138"/>
      <c r="F922" s="138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137"/>
      <c r="B923" s="138"/>
      <c r="C923" s="138"/>
      <c r="D923" s="138"/>
      <c r="E923" s="138"/>
      <c r="F923" s="138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137"/>
      <c r="B924" s="138"/>
      <c r="C924" s="138"/>
      <c r="D924" s="138"/>
      <c r="E924" s="138"/>
      <c r="F924" s="138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137"/>
      <c r="B925" s="138"/>
      <c r="C925" s="138"/>
      <c r="D925" s="138"/>
      <c r="E925" s="138"/>
      <c r="F925" s="138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137"/>
      <c r="B926" s="138"/>
      <c r="C926" s="138"/>
      <c r="D926" s="138"/>
      <c r="E926" s="138"/>
      <c r="F926" s="138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137"/>
      <c r="B927" s="138"/>
      <c r="C927" s="138"/>
      <c r="D927" s="138"/>
      <c r="E927" s="138"/>
      <c r="F927" s="138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137"/>
      <c r="B928" s="138"/>
      <c r="C928" s="138"/>
      <c r="D928" s="138"/>
      <c r="E928" s="138"/>
      <c r="F928" s="138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137"/>
      <c r="B929" s="138"/>
      <c r="C929" s="138"/>
      <c r="D929" s="138"/>
      <c r="E929" s="138"/>
      <c r="F929" s="138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137"/>
      <c r="B930" s="138"/>
      <c r="C930" s="138"/>
      <c r="D930" s="138"/>
      <c r="E930" s="138"/>
      <c r="F930" s="138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137"/>
      <c r="B931" s="138"/>
      <c r="C931" s="138"/>
      <c r="D931" s="138"/>
      <c r="E931" s="138"/>
      <c r="F931" s="138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137"/>
      <c r="B932" s="138"/>
      <c r="C932" s="138"/>
      <c r="D932" s="138"/>
      <c r="E932" s="138"/>
      <c r="F932" s="138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137"/>
      <c r="B933" s="138"/>
      <c r="C933" s="138"/>
      <c r="D933" s="138"/>
      <c r="E933" s="138"/>
      <c r="F933" s="138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137"/>
      <c r="B934" s="138"/>
      <c r="C934" s="138"/>
      <c r="D934" s="138"/>
      <c r="E934" s="138"/>
      <c r="F934" s="138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137"/>
      <c r="B935" s="138"/>
      <c r="C935" s="138"/>
      <c r="D935" s="138"/>
      <c r="E935" s="138"/>
      <c r="F935" s="138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137"/>
      <c r="B936" s="138"/>
      <c r="C936" s="138"/>
      <c r="D936" s="138"/>
      <c r="E936" s="138"/>
      <c r="F936" s="138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137"/>
      <c r="B937" s="138"/>
      <c r="C937" s="138"/>
      <c r="D937" s="138"/>
      <c r="E937" s="138"/>
      <c r="F937" s="138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137"/>
      <c r="B938" s="138"/>
      <c r="C938" s="138"/>
      <c r="D938" s="138"/>
      <c r="E938" s="138"/>
      <c r="F938" s="138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137"/>
      <c r="B939" s="138"/>
      <c r="C939" s="138"/>
      <c r="D939" s="138"/>
      <c r="E939" s="138"/>
      <c r="F939" s="138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137"/>
      <c r="B940" s="138"/>
      <c r="C940" s="138"/>
      <c r="D940" s="138"/>
      <c r="E940" s="138"/>
      <c r="F940" s="138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137"/>
      <c r="B941" s="138"/>
      <c r="C941" s="138"/>
      <c r="D941" s="138"/>
      <c r="E941" s="138"/>
      <c r="F941" s="138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137"/>
      <c r="B942" s="138"/>
      <c r="C942" s="138"/>
      <c r="D942" s="138"/>
      <c r="E942" s="138"/>
      <c r="F942" s="138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137"/>
      <c r="B943" s="138"/>
      <c r="C943" s="138"/>
      <c r="D943" s="138"/>
      <c r="E943" s="138"/>
      <c r="F943" s="138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137"/>
      <c r="B944" s="138"/>
      <c r="C944" s="138"/>
      <c r="D944" s="138"/>
      <c r="E944" s="138"/>
      <c r="F944" s="138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137"/>
      <c r="B945" s="138"/>
      <c r="C945" s="138"/>
      <c r="D945" s="138"/>
      <c r="E945" s="138"/>
      <c r="F945" s="138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137"/>
      <c r="B946" s="138"/>
      <c r="C946" s="138"/>
      <c r="D946" s="138"/>
      <c r="E946" s="138"/>
      <c r="F946" s="138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137"/>
      <c r="B947" s="138"/>
      <c r="C947" s="138"/>
      <c r="D947" s="138"/>
      <c r="E947" s="138"/>
      <c r="F947" s="138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137"/>
      <c r="B948" s="138"/>
      <c r="C948" s="138"/>
      <c r="D948" s="138"/>
      <c r="E948" s="138"/>
      <c r="F948" s="138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137"/>
      <c r="B949" s="138"/>
      <c r="C949" s="138"/>
      <c r="D949" s="138"/>
      <c r="E949" s="138"/>
      <c r="F949" s="138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137"/>
      <c r="B950" s="138"/>
      <c r="C950" s="138"/>
      <c r="D950" s="138"/>
      <c r="E950" s="138"/>
      <c r="F950" s="138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137"/>
      <c r="B951" s="138"/>
      <c r="C951" s="138"/>
      <c r="D951" s="138"/>
      <c r="E951" s="138"/>
      <c r="F951" s="138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137"/>
      <c r="B952" s="138"/>
      <c r="C952" s="138"/>
      <c r="D952" s="138"/>
      <c r="E952" s="138"/>
      <c r="F952" s="138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137"/>
      <c r="B953" s="138"/>
      <c r="C953" s="138"/>
      <c r="D953" s="138"/>
      <c r="E953" s="138"/>
      <c r="F953" s="138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137"/>
      <c r="B954" s="138"/>
      <c r="C954" s="138"/>
      <c r="D954" s="138"/>
      <c r="E954" s="138"/>
      <c r="F954" s="138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137"/>
      <c r="B955" s="138"/>
      <c r="C955" s="138"/>
      <c r="D955" s="138"/>
      <c r="E955" s="138"/>
      <c r="F955" s="138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137"/>
      <c r="B956" s="138"/>
      <c r="C956" s="138"/>
      <c r="D956" s="138"/>
      <c r="E956" s="138"/>
      <c r="F956" s="138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137"/>
      <c r="B957" s="138"/>
      <c r="C957" s="138"/>
      <c r="D957" s="138"/>
      <c r="E957" s="138"/>
      <c r="F957" s="138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137"/>
      <c r="B958" s="138"/>
      <c r="C958" s="138"/>
      <c r="D958" s="138"/>
      <c r="E958" s="138"/>
      <c r="F958" s="138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137"/>
      <c r="B959" s="138"/>
      <c r="C959" s="138"/>
      <c r="D959" s="138"/>
      <c r="E959" s="138"/>
      <c r="F959" s="138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137"/>
      <c r="B960" s="138"/>
      <c r="C960" s="138"/>
      <c r="D960" s="138"/>
      <c r="E960" s="138"/>
      <c r="F960" s="138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137"/>
      <c r="B961" s="138"/>
      <c r="C961" s="138"/>
      <c r="D961" s="138"/>
      <c r="E961" s="138"/>
      <c r="F961" s="138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137"/>
      <c r="B962" s="138"/>
      <c r="C962" s="138"/>
      <c r="D962" s="138"/>
      <c r="E962" s="138"/>
      <c r="F962" s="138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>
      <c r="A963" s="137"/>
      <c r="B963" s="138"/>
      <c r="C963" s="138"/>
      <c r="D963" s="138"/>
      <c r="E963" s="138"/>
      <c r="F963" s="138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>
      <c r="A964" s="137"/>
      <c r="B964" s="138"/>
      <c r="C964" s="138"/>
      <c r="D964" s="138"/>
      <c r="E964" s="138"/>
      <c r="F964" s="138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>
      <c r="A965" s="137"/>
      <c r="B965" s="138"/>
      <c r="C965" s="138"/>
      <c r="D965" s="138"/>
      <c r="E965" s="138"/>
      <c r="F965" s="138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>
      <c r="A966" s="137"/>
      <c r="B966" s="138"/>
      <c r="C966" s="138"/>
      <c r="D966" s="138"/>
      <c r="E966" s="138"/>
      <c r="F966" s="138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>
      <c r="A967" s="137"/>
      <c r="B967" s="138"/>
      <c r="C967" s="138"/>
      <c r="D967" s="138"/>
      <c r="E967" s="138"/>
      <c r="F967" s="138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>
      <c r="A968" s="137"/>
      <c r="B968" s="138"/>
      <c r="C968" s="138"/>
      <c r="D968" s="138"/>
      <c r="E968" s="138"/>
      <c r="F968" s="138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>
      <c r="A969" s="137"/>
      <c r="B969" s="138"/>
      <c r="C969" s="138"/>
      <c r="D969" s="138"/>
      <c r="E969" s="138"/>
      <c r="F969" s="138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>
      <c r="A970" s="137"/>
      <c r="B970" s="138"/>
      <c r="C970" s="138"/>
      <c r="D970" s="138"/>
      <c r="E970" s="138"/>
      <c r="F970" s="138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>
      <c r="A971" s="137"/>
      <c r="B971" s="138"/>
      <c r="C971" s="138"/>
      <c r="D971" s="138"/>
      <c r="E971" s="138"/>
      <c r="F971" s="138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>
      <c r="A972" s="137"/>
      <c r="B972" s="138"/>
      <c r="C972" s="138"/>
      <c r="D972" s="138"/>
      <c r="E972" s="138"/>
      <c r="F972" s="138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>
      <c r="A973" s="137"/>
      <c r="B973" s="138"/>
      <c r="C973" s="138"/>
      <c r="D973" s="138"/>
      <c r="E973" s="138"/>
      <c r="F973" s="138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>
      <c r="A974" s="137"/>
      <c r="B974" s="138"/>
      <c r="C974" s="138"/>
      <c r="D974" s="138"/>
      <c r="E974" s="138"/>
      <c r="F974" s="138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>
      <c r="A975" s="137"/>
      <c r="B975" s="138"/>
      <c r="C975" s="138"/>
      <c r="D975" s="138"/>
      <c r="E975" s="138"/>
      <c r="F975" s="138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>
      <c r="A976" s="137"/>
      <c r="B976" s="138"/>
      <c r="C976" s="138"/>
      <c r="D976" s="138"/>
      <c r="E976" s="138"/>
      <c r="F976" s="138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>
      <c r="A977" s="137"/>
      <c r="B977" s="138"/>
      <c r="C977" s="138"/>
      <c r="D977" s="138"/>
      <c r="E977" s="138"/>
      <c r="F977" s="138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>
      <c r="A978" s="137"/>
      <c r="B978" s="138"/>
      <c r="C978" s="138"/>
      <c r="D978" s="138"/>
      <c r="E978" s="138"/>
      <c r="F978" s="138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>
      <c r="A979" s="137"/>
      <c r="B979" s="138"/>
      <c r="C979" s="138"/>
      <c r="D979" s="138"/>
      <c r="E979" s="138"/>
      <c r="F979" s="138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>
      <c r="A980" s="137"/>
      <c r="B980" s="138"/>
      <c r="C980" s="138"/>
      <c r="D980" s="138"/>
      <c r="E980" s="138"/>
      <c r="F980" s="138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>
      <c r="A981" s="137"/>
      <c r="B981" s="138"/>
      <c r="C981" s="138"/>
      <c r="D981" s="138"/>
      <c r="E981" s="138"/>
      <c r="F981" s="138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>
      <c r="A982" s="137"/>
      <c r="B982" s="138"/>
      <c r="C982" s="138"/>
      <c r="D982" s="138"/>
      <c r="E982" s="138"/>
      <c r="F982" s="138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>
      <c r="A983" s="137"/>
      <c r="B983" s="138"/>
      <c r="C983" s="138"/>
      <c r="D983" s="138"/>
      <c r="E983" s="138"/>
      <c r="F983" s="138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>
      <c r="A984" s="137"/>
      <c r="B984" s="138"/>
      <c r="C984" s="138"/>
      <c r="D984" s="138"/>
      <c r="E984" s="138"/>
      <c r="F984" s="138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>
      <c r="A985" s="137"/>
      <c r="B985" s="138"/>
      <c r="C985" s="138"/>
      <c r="D985" s="138"/>
      <c r="E985" s="138"/>
      <c r="F985" s="138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>
      <c r="A986" s="137"/>
      <c r="B986" s="138"/>
      <c r="C986" s="138"/>
      <c r="D986" s="138"/>
      <c r="E986" s="138"/>
      <c r="F986" s="138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>
      <c r="A987" s="137"/>
      <c r="B987" s="138"/>
      <c r="C987" s="138"/>
      <c r="D987" s="138"/>
      <c r="E987" s="138"/>
      <c r="F987" s="138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>
      <c r="A988" s="137"/>
      <c r="B988" s="138"/>
      <c r="C988" s="138"/>
      <c r="D988" s="138"/>
      <c r="E988" s="138"/>
      <c r="F988" s="138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>
      <c r="A989" s="137"/>
      <c r="B989" s="138"/>
      <c r="C989" s="138"/>
      <c r="D989" s="138"/>
      <c r="E989" s="138"/>
      <c r="F989" s="138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>
      <c r="A990" s="137"/>
      <c r="B990" s="138"/>
      <c r="C990" s="138"/>
      <c r="D990" s="138"/>
      <c r="E990" s="138"/>
      <c r="F990" s="138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>
      <c r="A991" s="137"/>
      <c r="B991" s="138"/>
      <c r="C991" s="138"/>
      <c r="D991" s="138"/>
      <c r="E991" s="138"/>
      <c r="F991" s="138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>
      <c r="A992" s="137"/>
      <c r="B992" s="138"/>
      <c r="C992" s="138"/>
      <c r="D992" s="138"/>
      <c r="E992" s="138"/>
      <c r="F992" s="138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>
      <c r="A993" s="137"/>
      <c r="B993" s="138"/>
      <c r="C993" s="138"/>
      <c r="D993" s="138"/>
      <c r="E993" s="138"/>
      <c r="F993" s="138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>
      <c r="A994" s="137"/>
      <c r="B994" s="138"/>
      <c r="C994" s="138"/>
      <c r="D994" s="138"/>
      <c r="E994" s="138"/>
      <c r="F994" s="138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>
      <c r="A995" s="137"/>
      <c r="B995" s="138"/>
      <c r="C995" s="138"/>
      <c r="D995" s="138"/>
      <c r="E995" s="138"/>
      <c r="F995" s="138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>
      <c r="A996" s="137"/>
      <c r="B996" s="138"/>
      <c r="C996" s="138"/>
      <c r="D996" s="138"/>
      <c r="E996" s="138"/>
      <c r="F996" s="138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</sheetData>
  <mergeCells count="1">
    <mergeCell ref="B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9" t="s">
        <v>57</v>
      </c>
      <c r="C2" s="150">
        <v>0.02</v>
      </c>
    </row>
    <row r="3">
      <c r="B3" s="149" t="s">
        <v>58</v>
      </c>
      <c r="C3" s="150">
        <v>0.49000000000000005</v>
      </c>
    </row>
    <row r="4">
      <c r="B4" s="149" t="s">
        <v>63</v>
      </c>
      <c r="C4" s="150">
        <v>0.1</v>
      </c>
    </row>
    <row r="5">
      <c r="B5" s="149" t="s">
        <v>64</v>
      </c>
      <c r="C5" s="150">
        <v>0.1</v>
      </c>
    </row>
    <row r="6">
      <c r="B6" s="149" t="s">
        <v>67</v>
      </c>
      <c r="C6" s="150">
        <v>0.29</v>
      </c>
    </row>
    <row r="7">
      <c r="C7" s="150"/>
    </row>
    <row r="8">
      <c r="C8" s="150"/>
    </row>
    <row r="10">
      <c r="C10" s="150"/>
    </row>
    <row r="11">
      <c r="B11" s="149"/>
      <c r="C11" s="150" t="s">
        <v>94</v>
      </c>
    </row>
    <row r="12">
      <c r="B12" s="149"/>
      <c r="C12" s="150" t="s">
        <v>94</v>
      </c>
    </row>
    <row r="14">
      <c r="C14" s="150"/>
    </row>
    <row r="15">
      <c r="C15" s="150"/>
    </row>
    <row r="16">
      <c r="B16" s="149"/>
      <c r="C16" s="150"/>
    </row>
    <row r="18">
      <c r="C18" s="150"/>
    </row>
    <row r="19">
      <c r="C19" s="150"/>
    </row>
    <row r="20">
      <c r="C20" s="150"/>
    </row>
    <row r="25">
      <c r="B25" s="151" t="s">
        <v>95</v>
      </c>
      <c r="C25" s="152" t="s">
        <v>13</v>
      </c>
      <c r="D25" s="152" t="s">
        <v>96</v>
      </c>
      <c r="E25" s="152" t="s">
        <v>97</v>
      </c>
      <c r="F25" s="153" t="s">
        <v>11</v>
      </c>
      <c r="G25" s="152" t="s">
        <v>98</v>
      </c>
      <c r="H25" s="152" t="s">
        <v>64</v>
      </c>
    </row>
    <row r="26">
      <c r="B26" s="154">
        <v>46204.0</v>
      </c>
      <c r="C26" s="155">
        <f>'Token Release Schedule'!D9</f>
        <v>20000000</v>
      </c>
      <c r="D26" s="155">
        <f>SUM('Token Release Schedule'!I9:L9)</f>
        <v>78000000</v>
      </c>
      <c r="E26" s="155">
        <f>'Token Release Schedule'!H9</f>
        <v>0</v>
      </c>
      <c r="F26" s="155">
        <f>'Token Release Schedule'!C9</f>
        <v>10000000</v>
      </c>
      <c r="G26" s="155">
        <f>SUM('Token Release Schedule'!F9:G9)</f>
        <v>0</v>
      </c>
      <c r="H26" s="155">
        <f>SUM('Token Release Schedule'!M9:N9)</f>
        <v>60000000</v>
      </c>
    </row>
    <row r="27">
      <c r="B27" s="156">
        <f t="shared" ref="B27:B36" si="1">EDATE(B26,6)</f>
        <v>46388</v>
      </c>
      <c r="C27" s="155">
        <f t="array" ref="C27">C26 + SUM(INDEX('Token Release Schedule'!D:D, 10 + 6*(ROW()-27)) :
           INDEX('Token Release Schedule'!D:D, 15 + 6*(ROW()-27) + 5))</f>
        <v>20000000</v>
      </c>
      <c r="D27" s="155">
        <f t="array" ref="D27">D26 + SUM(
    INDEX('Token Release Schedule'!I:L, 10 + 6*(ROW()-27), 1) :
    INDEX('Token Release Schedule'!I:L, 10 + 6*(ROW()-27) + 5, 4)
)
</f>
        <v>123682940.8</v>
      </c>
      <c r="E27" s="155">
        <f t="array" ref="E27">E26 + SUM(INDEX('Token Release Schedule'!H:H, 10 + 6*(ROW()-27)) :
           INDEX('Token Release Schedule'!H:H, 15 + 6*(ROW()-27)))</f>
        <v>2222222.222</v>
      </c>
      <c r="F27" s="155">
        <f t="array" ref="F27">F26 + SUM(INDEX('Token Release Schedule'!C:C, 10 + 6*(ROW()-27)) :
           INDEX('Token Release Schedule'!C:C, 15 + 6*(ROW()-27)))</f>
        <v>37000000</v>
      </c>
      <c r="G27" s="155">
        <f t="array" ref="G27">G26 + SUM(
    INDEX('Token Release Schedule'!F:G, 10 + 6*(ROW()-27), 1) :
    INDEX('Token Release Schedule'!F:G, 10 + 6*(ROW()-27) + 5, 2)
)
</f>
        <v>0</v>
      </c>
      <c r="H27" s="155">
        <f t="array" ref="H27">H26 + SUM(
    INDEX('Token Release Schedule'!M:N, 10 + 6*(ROW()-27), 1) :
    INDEX('Token Release Schedule'!M:N, 10 + 6*(ROW()-27) + 5, 2)
)
</f>
        <v>66857142.86</v>
      </c>
    </row>
    <row r="28">
      <c r="B28" s="156">
        <f t="shared" si="1"/>
        <v>46569</v>
      </c>
      <c r="C28" s="155">
        <f t="array" ref="C28">C27 + SUM(INDEX('Token Release Schedule'!D:D, 10 + 6*(ROW()-27)) :
           INDEX('Token Release Schedule'!D:D, 15 + 6*(ROW()-27) + 5))</f>
        <v>20000000</v>
      </c>
      <c r="D28" s="155">
        <f t="array" ref="D28">D27 + SUM(
    INDEX('Token Release Schedule'!I:L, 10 + 6*(ROW()-27), 1) :
    INDEX('Token Release Schedule'!I:L, 10 + 6*(ROW()-27) + 5, 4)
)
</f>
        <v>170047699.8</v>
      </c>
      <c r="E28" s="155">
        <f t="array" ref="E28">E27 + SUM(INDEX('Token Release Schedule'!H:H, 10 + 6*(ROW()-27)) :
           INDEX('Token Release Schedule'!H:H, 15 + 6*(ROW()-27)))</f>
        <v>15555555.56</v>
      </c>
      <c r="F28" s="155">
        <f t="array" ref="F28">F27 + SUM(INDEX('Token Release Schedule'!C:C, 10 + 6*(ROW()-27)) :
           INDEX('Token Release Schedule'!C:C, 15 + 6*(ROW()-27)))</f>
        <v>64000000</v>
      </c>
      <c r="G28" s="155">
        <f t="array" ref="G28">G27 + SUM(
    INDEX('Token Release Schedule'!F:G, 10 + 6*(ROW()-27), 1) :
    INDEX('Token Release Schedule'!F:G, 10 + 6*(ROW()-27) + 5, 2)
)
</f>
        <v>5833333.333</v>
      </c>
      <c r="H28" s="155">
        <f t="array" ref="H28">H27 + SUM(
    INDEX('Token Release Schedule'!M:N, 10 + 6*(ROW()-27), 1) :
    INDEX('Token Release Schedule'!M:N, 10 + 6*(ROW()-27) + 5, 2)
)
</f>
        <v>73714285.71</v>
      </c>
    </row>
    <row r="29">
      <c r="B29" s="156">
        <f t="shared" si="1"/>
        <v>46753</v>
      </c>
      <c r="C29" s="155">
        <f t="array" ref="C29">C28 + SUM(INDEX('Token Release Schedule'!D:D, 10 + 6*(ROW()-27)) :
           INDEX('Token Release Schedule'!D:D, 15 + 6*(ROW()-27) + 5))</f>
        <v>20000000</v>
      </c>
      <c r="D29" s="155">
        <f t="array" ref="D29">D28 + SUM(
    INDEX('Token Release Schedule'!I:L, 10 + 6*(ROW()-27), 1) :
    INDEX('Token Release Schedule'!I:L, 10 + 6*(ROW()-27) + 5, 4)
)
</f>
        <v>219821549.6</v>
      </c>
      <c r="E29" s="155">
        <f t="array" ref="E29">E28 + SUM(INDEX('Token Release Schedule'!H:H, 10 + 6*(ROW()-27)) :
           INDEX('Token Release Schedule'!H:H, 15 + 6*(ROW()-27)))</f>
        <v>28888888.89</v>
      </c>
      <c r="F29" s="155">
        <f t="array" ref="F29">F28 + SUM(INDEX('Token Release Schedule'!C:C, 10 + 6*(ROW()-27)) :
           INDEX('Token Release Schedule'!C:C, 15 + 6*(ROW()-27)))</f>
        <v>91000000</v>
      </c>
      <c r="G29" s="155">
        <f t="array" ref="G29">G28 + SUM(
    INDEX('Token Release Schedule'!F:G, 10 + 6*(ROW()-27), 1) :
    INDEX('Token Release Schedule'!F:G, 10 + 6*(ROW()-27) + 5, 2)
)
</f>
        <v>40833333.33</v>
      </c>
      <c r="H29" s="155">
        <f t="array" ref="H29">H28 + SUM(
    INDEX('Token Release Schedule'!M:N, 10 + 6*(ROW()-27), 1) :
    INDEX('Token Release Schedule'!M:N, 10 + 6*(ROW()-27) + 5, 2)
)
</f>
        <v>80571428.57</v>
      </c>
    </row>
    <row r="30">
      <c r="B30" s="156">
        <f t="shared" si="1"/>
        <v>46935</v>
      </c>
      <c r="C30" s="155">
        <f t="array" ref="C30">C29 + SUM(INDEX('Token Release Schedule'!D:D, 10 + 6*(ROW()-27)) :
           INDEX('Token Release Schedule'!D:D, 15 + 6*(ROW()-27) + 5))</f>
        <v>20000000</v>
      </c>
      <c r="D30" s="155">
        <f t="array" ref="D30">D29 + SUM(
    INDEX('Token Release Schedule'!I:L, 10 + 6*(ROW()-27), 1) :
    INDEX('Token Release Schedule'!I:L, 10 + 6*(ROW()-27) + 5, 4)
)
</f>
        <v>269595399.5</v>
      </c>
      <c r="E30" s="155">
        <f t="array" ref="E30">E29 + SUM(INDEX('Token Release Schedule'!H:H, 10 + 6*(ROW()-27)) :
           INDEX('Token Release Schedule'!H:H, 15 + 6*(ROW()-27)))</f>
        <v>42222222.22</v>
      </c>
      <c r="F30" s="155">
        <f t="array" ref="F30">F29 + SUM(INDEX('Token Release Schedule'!C:C, 10 + 6*(ROW()-27)) :
           INDEX('Token Release Schedule'!C:C, 15 + 6*(ROW()-27)))</f>
        <v>100000000</v>
      </c>
      <c r="G30" s="155">
        <f t="array" ref="G30">G29 + SUM(
    INDEX('Token Release Schedule'!F:G, 10 + 6*(ROW()-27), 1) :
    INDEX('Token Release Schedule'!F:G, 10 + 6*(ROW()-27) + 5, 2)
)
</f>
        <v>75833333.33</v>
      </c>
      <c r="H30" s="155">
        <f t="array" ref="H30">H29 + SUM(
    INDEX('Token Release Schedule'!M:N, 10 + 6*(ROW()-27), 1) :
    INDEX('Token Release Schedule'!M:N, 10 + 6*(ROW()-27) + 5, 2)
)
</f>
        <v>87428571.43</v>
      </c>
    </row>
    <row r="31">
      <c r="B31" s="156">
        <f t="shared" si="1"/>
        <v>47119</v>
      </c>
      <c r="C31" s="155">
        <f t="array" ref="C31">C30 + SUM(INDEX('Token Release Schedule'!D:D, 10 + 6*(ROW()-27)) :
           INDEX('Token Release Schedule'!D:D, 15 + 6*(ROW()-27) + 5))</f>
        <v>20000000</v>
      </c>
      <c r="D31" s="155">
        <f t="array" ref="D31">D30 + SUM(
    INDEX('Token Release Schedule'!I:L, 10 + 6*(ROW()-27), 1) :
    INDEX('Token Release Schedule'!I:L, 10 + 6*(ROW()-27) + 5, 4)
)
</f>
        <v>319369249.4</v>
      </c>
      <c r="E31" s="155">
        <f t="array" ref="E31">E30 + SUM(INDEX('Token Release Schedule'!H:H, 10 + 6*(ROW()-27)) :
           INDEX('Token Release Schedule'!H:H, 15 + 6*(ROW()-27)))</f>
        <v>55555555.56</v>
      </c>
      <c r="F31" s="155">
        <f t="array" ref="F31">F30 + SUM(INDEX('Token Release Schedule'!C:C, 10 + 6*(ROW()-27)) :
           INDEX('Token Release Schedule'!C:C, 15 + 6*(ROW()-27)))</f>
        <v>100000000</v>
      </c>
      <c r="G31" s="155">
        <f t="array" ref="G31">G30 + SUM(
    INDEX('Token Release Schedule'!F:G, 10 + 6*(ROW()-27), 1) :
    INDEX('Token Release Schedule'!F:G, 10 + 6*(ROW()-27) + 5, 2)
)
</f>
        <v>110833333.3</v>
      </c>
      <c r="H31" s="155">
        <f t="array" ref="H31">H30 + SUM(
    INDEX('Token Release Schedule'!M:N, 10 + 6*(ROW()-27), 1) :
    INDEX('Token Release Schedule'!M:N, 10 + 6*(ROW()-27) + 5, 2)
)
</f>
        <v>94285714.29</v>
      </c>
    </row>
    <row r="32">
      <c r="B32" s="156">
        <f t="shared" si="1"/>
        <v>47300</v>
      </c>
      <c r="C32" s="155">
        <f t="array" ref="C32">C31 + SUM(INDEX('Token Release Schedule'!D:D, 10 + 6*(ROW()-27)) :
           INDEX('Token Release Schedule'!D:D, 15 + 6*(ROW()-27) + 5))</f>
        <v>20000000</v>
      </c>
      <c r="D32" s="155">
        <f t="array" ref="D32">D31 + SUM(
    INDEX('Token Release Schedule'!I:L, 10 + 6*(ROW()-27), 1) :
    INDEX('Token Release Schedule'!I:L, 10 + 6*(ROW()-27) + 5, 4)
)
</f>
        <v>366228813.6</v>
      </c>
      <c r="E32" s="155">
        <f t="array" ref="E32">E31 + SUM(INDEX('Token Release Schedule'!H:H, 10 + 6*(ROW()-27)) :
           INDEX('Token Release Schedule'!H:H, 15 + 6*(ROW()-27)))</f>
        <v>68888888.89</v>
      </c>
      <c r="F32" s="155">
        <f t="array" ref="F32">F31 + SUM(INDEX('Token Release Schedule'!C:C, 10 + 6*(ROW()-27)) :
           INDEX('Token Release Schedule'!C:C, 15 + 6*(ROW()-27)))</f>
        <v>100000000</v>
      </c>
      <c r="G32" s="155">
        <f t="array" ref="G32">G31 + SUM(
    INDEX('Token Release Schedule'!F:G, 10 + 6*(ROW()-27), 1) :
    INDEX('Token Release Schedule'!F:G, 10 + 6*(ROW()-27) + 5, 2)
)
</f>
        <v>145833333.3</v>
      </c>
      <c r="H32" s="155">
        <f t="array" ref="H32">H31 + SUM(
    INDEX('Token Release Schedule'!M:N, 10 + 6*(ROW()-27), 1) :
    INDEX('Token Release Schedule'!M:N, 10 + 6*(ROW()-27) + 5, 2)
)
</f>
        <v>100000000</v>
      </c>
    </row>
    <row r="33">
      <c r="B33" s="156">
        <f t="shared" si="1"/>
        <v>47484</v>
      </c>
      <c r="C33" s="155">
        <f t="array" ref="C33">C32 + SUM(INDEX('Token Release Schedule'!D:D, 10 + 6*(ROW()-27)) :
           INDEX('Token Release Schedule'!D:D, 15 + 6*(ROW()-27) + 5))</f>
        <v>20000000</v>
      </c>
      <c r="D33" s="155">
        <f t="array" ref="D33">D32 + SUM(
    INDEX('Token Release Schedule'!I:L, 10 + 6*(ROW()-27), 1) :
    INDEX('Token Release Schedule'!I:L, 10 + 6*(ROW()-27) + 5, 4)
)
</f>
        <v>398516949.2</v>
      </c>
      <c r="E33" s="155">
        <f t="array" ref="E33">E32 + SUM(INDEX('Token Release Schedule'!H:H, 10 + 6*(ROW()-27)) :
           INDEX('Token Release Schedule'!H:H, 15 + 6*(ROW()-27)))</f>
        <v>80000000</v>
      </c>
      <c r="F33" s="155">
        <f t="array" ref="F33">F32 + SUM(INDEX('Token Release Schedule'!C:C, 10 + 6*(ROW()-27)) :
           INDEX('Token Release Schedule'!C:C, 15 + 6*(ROW()-27)))</f>
        <v>100000000</v>
      </c>
      <c r="G33" s="155">
        <f t="array" ref="G33">G32 + SUM(
    INDEX('Token Release Schedule'!F:G, 10 + 6*(ROW()-27), 1) :
    INDEX('Token Release Schedule'!F:G, 10 + 6*(ROW()-27) + 5, 2)
)
</f>
        <v>180833333.3</v>
      </c>
      <c r="H33" s="155">
        <f t="array" ref="H33">H32 + SUM(
    INDEX('Token Release Schedule'!M:N, 10 + 6*(ROW()-27), 1) :
    INDEX('Token Release Schedule'!M:N, 10 + 6*(ROW()-27) + 5, 2)
)
</f>
        <v>100000000</v>
      </c>
    </row>
    <row r="34">
      <c r="B34" s="156">
        <f t="shared" si="1"/>
        <v>47665</v>
      </c>
      <c r="C34" s="155">
        <f t="array" ref="C34">C33 + SUM(INDEX('Token Release Schedule'!D:D, 10 + 6*(ROW()-27)) :
           INDEX('Token Release Schedule'!D:D, 15 + 6*(ROW()-27) + 5))</f>
        <v>20000000</v>
      </c>
      <c r="D34" s="155">
        <f t="array" ref="D34">D33 + SUM(
    INDEX('Token Release Schedule'!I:L, 10 + 6*(ROW()-27), 1) :
    INDEX('Token Release Schedule'!I:L, 10 + 6*(ROW()-27) + 5, 4)
)
</f>
        <v>430805084.7</v>
      </c>
      <c r="E34" s="155">
        <f t="array" ref="E34">E33 + SUM(INDEX('Token Release Schedule'!H:H, 10 + 6*(ROW()-27)) :
           INDEX('Token Release Schedule'!H:H, 15 + 6*(ROW()-27)))</f>
        <v>80000000</v>
      </c>
      <c r="F34" s="155">
        <f t="array" ref="F34">F33 + SUM(INDEX('Token Release Schedule'!C:C, 10 + 6*(ROW()-27)) :
           INDEX('Token Release Schedule'!C:C, 15 + 6*(ROW()-27)))</f>
        <v>100000000</v>
      </c>
      <c r="G34" s="155">
        <f t="array" ref="G34">G33 + SUM(
    INDEX('Token Release Schedule'!F:G, 10 + 6*(ROW()-27), 1) :
    INDEX('Token Release Schedule'!F:G, 10 + 6*(ROW()-27) + 5, 2)
)
</f>
        <v>210000000</v>
      </c>
      <c r="H34" s="155">
        <f t="array" ref="H34">H33 + SUM(
    INDEX('Token Release Schedule'!M:N, 10 + 6*(ROW()-27), 1) :
    INDEX('Token Release Schedule'!M:N, 10 + 6*(ROW()-27) + 5, 2)
)
</f>
        <v>100000000</v>
      </c>
    </row>
    <row r="35">
      <c r="B35" s="156">
        <f t="shared" si="1"/>
        <v>47849</v>
      </c>
      <c r="C35" s="155">
        <f t="array" ref="C35">C34 + SUM(INDEX('Token Release Schedule'!D:D, 10 + 6*(ROW()-27)) :
           INDEX('Token Release Schedule'!D:D, 15 + 6*(ROW()-27) + 5))</f>
        <v>20000000</v>
      </c>
      <c r="D35" s="155">
        <f t="array" ref="D35">D34 + SUM(
    INDEX('Token Release Schedule'!I:L, 10 + 6*(ROW()-27), 1) :
    INDEX('Token Release Schedule'!I:L, 10 + 6*(ROW()-27) + 5, 4)
)
</f>
        <v>463093220.3</v>
      </c>
      <c r="E35" s="155">
        <f t="array" ref="E35">E34 + SUM(INDEX('Token Release Schedule'!H:H, 10 + 6*(ROW()-27)) :
           INDEX('Token Release Schedule'!H:H, 15 + 6*(ROW()-27)))</f>
        <v>80000000</v>
      </c>
      <c r="F35" s="155">
        <f t="array" ref="F35">F34 + SUM(INDEX('Token Release Schedule'!C:C, 10 + 6*(ROW()-27)) :
           INDEX('Token Release Schedule'!C:C, 15 + 6*(ROW()-27)))</f>
        <v>100000000</v>
      </c>
      <c r="G35" s="155">
        <f t="array" ref="G35">G34 + SUM(
    INDEX('Token Release Schedule'!F:G, 10 + 6*(ROW()-27), 1) :
    INDEX('Token Release Schedule'!F:G, 10 + 6*(ROW()-27) + 5, 2)
)
</f>
        <v>210000000</v>
      </c>
      <c r="H35" s="155">
        <f t="array" ref="H35">H34 + SUM(
    INDEX('Token Release Schedule'!M:N, 10 + 6*(ROW()-27), 1) :
    INDEX('Token Release Schedule'!M:N, 10 + 6*(ROW()-27) + 5, 2)
)
</f>
        <v>100000000</v>
      </c>
    </row>
    <row r="36">
      <c r="B36" s="156">
        <f t="shared" si="1"/>
        <v>48030</v>
      </c>
      <c r="C36" s="155">
        <f t="array" ref="C36">C35 + SUM(INDEX('Token Release Schedule'!D:D, 10 + 6*(ROW()-27)) :
           INDEX('Token Release Schedule'!D:D, 15 + 6*(ROW()-27) + 4))</f>
        <v>40000000</v>
      </c>
      <c r="D36" s="155">
        <f t="array" ref="D36">D35 + SUM(
    INDEX('Token Release Schedule'!I:L, 10 + 6*(ROW()-27), 1) :
    INDEX('Token Release Schedule'!I:L, 10 + 6*(ROW()-27) + 4, 4)
)
</f>
        <v>490000000</v>
      </c>
      <c r="E36" s="155">
        <f t="array" ref="E36">E35 + SUM(INDEX('Token Release Schedule'!H:H, 10 + 6*(ROW()-27)) :
           INDEX('Token Release Schedule'!H:H, 15 + 6*(ROW()-27) - 1))</f>
        <v>80000000</v>
      </c>
      <c r="F36" s="155">
        <f t="array" ref="F36">F35 + SUM(INDEX('Token Release Schedule'!C:C, 10 + 6*(ROW()-27)) :
           INDEX('Token Release Schedule'!C:C, 15 + 6*(ROW()-27) - 1))</f>
        <v>100000000</v>
      </c>
      <c r="G36" s="155">
        <f t="array" ref="G36">G35 + SUM(
    INDEX('Token Release Schedule'!F:G, 10 + 6*(ROW()-27), 1) :
    INDEX('Token Release Schedule'!F:G, 10 + 6*(ROW()-27) + 4, 2)
)
</f>
        <v>210000000</v>
      </c>
      <c r="H36" s="155">
        <f t="array" ref="H36">H35 + SUM(
    INDEX('Token Release Schedule'!M:N, 10 + 6*(ROW()-27), 1) :
    INDEX('Token Release Schedule'!M:N, 10 + 6*(ROW()-27) + 4, 2)
)
</f>
        <v>100000000</v>
      </c>
      <c r="K36" s="157" t="str">
        <f t="array" ref="K36">    INDEX('Token Release Schedule'!I:L, 10 +5 + 6*(ROW()-27-1), 4)
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6.5"/>
    <col customWidth="1" min="3" max="3" width="14.0"/>
    <col customWidth="1" min="4" max="27" width="7.63"/>
  </cols>
  <sheetData>
    <row r="2">
      <c r="B2" s="158" t="s">
        <v>99</v>
      </c>
      <c r="C2" s="158" t="s">
        <v>100</v>
      </c>
    </row>
    <row r="3">
      <c r="B3" s="158" t="s">
        <v>85</v>
      </c>
      <c r="C3" s="158">
        <v>50000.0</v>
      </c>
    </row>
    <row r="4">
      <c r="B4" s="158" t="s">
        <v>2</v>
      </c>
      <c r="C4" s="158">
        <v>1.0E9</v>
      </c>
    </row>
    <row r="5">
      <c r="B5" s="158" t="s">
        <v>101</v>
      </c>
      <c r="C5" s="158">
        <v>0.2</v>
      </c>
    </row>
    <row r="6">
      <c r="B6" s="158" t="s">
        <v>102</v>
      </c>
      <c r="C6" s="158">
        <v>50.0</v>
      </c>
    </row>
    <row r="7">
      <c r="B7" s="158" t="s">
        <v>103</v>
      </c>
      <c r="C7" s="158">
        <v>0.15</v>
      </c>
    </row>
    <row r="8">
      <c r="B8" s="158" t="s">
        <v>104</v>
      </c>
      <c r="C8" s="158">
        <v>4.0</v>
      </c>
    </row>
    <row r="9">
      <c r="B9" s="158" t="s">
        <v>105</v>
      </c>
      <c r="C9" s="158">
        <v>4000.0</v>
      </c>
    </row>
    <row r="10">
      <c r="B10" s="158" t="s">
        <v>106</v>
      </c>
      <c r="C10" s="158">
        <v>3500.0</v>
      </c>
    </row>
    <row r="12">
      <c r="B12" s="158" t="s">
        <v>107</v>
      </c>
      <c r="C12" s="158">
        <f>((C8/C7)^(1/(C6-1)))-1</f>
        <v>0.06930452022</v>
      </c>
    </row>
    <row r="13">
      <c r="B13" s="158" t="s">
        <v>108</v>
      </c>
      <c r="C13" s="149">
        <v>0.078712</v>
      </c>
    </row>
    <row r="15">
      <c r="B15" s="158" t="s">
        <v>109</v>
      </c>
      <c r="C15" s="159">
        <f>SUM(Nodes!H13:H62)</f>
        <v>74530505</v>
      </c>
    </row>
    <row r="16">
      <c r="B16" s="158" t="s">
        <v>110</v>
      </c>
      <c r="C16" s="158">
        <f>SUM(Nodes!E13:E62)</f>
        <v>50000</v>
      </c>
    </row>
    <row r="18">
      <c r="B18" s="158" t="s">
        <v>111</v>
      </c>
    </row>
    <row r="19">
      <c r="B19" s="158" t="s">
        <v>112</v>
      </c>
    </row>
  </sheetData>
  <printOptions/>
  <pageMargins bottom="1.0" footer="0.0" header="0.0" left="0.75" right="0.75" top="1.0"/>
  <pageSetup orientation="landscape"/>
  <drawing r:id="rId1"/>
</worksheet>
</file>