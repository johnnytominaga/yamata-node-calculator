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omas\Python\Investor_Streamlits\Node_Calculator\yamata-nodes\"/>
    </mc:Choice>
  </mc:AlternateContent>
  <xr:revisionPtr revIDLastSave="0" documentId="13_ncr:1_{B8930171-DC75-4628-A3A5-B588E3DB7B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J11" i="1"/>
  <c r="J3" i="1"/>
  <c r="J4" i="1"/>
  <c r="J5" i="1"/>
  <c r="J6" i="1"/>
  <c r="J7" i="1"/>
  <c r="J8" i="1"/>
  <c r="J9" i="1"/>
  <c r="J10" i="1"/>
  <c r="J12" i="1"/>
  <c r="J2" i="1"/>
  <c r="C16" i="1"/>
  <c r="C6" i="1"/>
  <c r="C7" i="1"/>
  <c r="C8" i="1"/>
  <c r="C9" i="1"/>
  <c r="C10" i="1"/>
  <c r="C11" i="1"/>
  <c r="C12" i="1"/>
  <c r="C13" i="1"/>
  <c r="C14" i="1"/>
  <c r="C15" i="1"/>
  <c r="C17" i="1"/>
  <c r="C18" i="1"/>
  <c r="C19" i="1"/>
  <c r="C5" i="1"/>
  <c r="C4" i="1"/>
  <c r="C2" i="1"/>
  <c r="C3" i="1"/>
</calcChain>
</file>

<file path=xl/sharedStrings.xml><?xml version="1.0" encoding="utf-8"?>
<sst xmlns="http://schemas.openxmlformats.org/spreadsheetml/2006/main" count="60" uniqueCount="60">
  <si>
    <t>Tier</t>
  </si>
  <si>
    <t>Keys</t>
  </si>
  <si>
    <t>0.16</t>
  </si>
  <si>
    <t>0.18</t>
  </si>
  <si>
    <t>0.21</t>
  </si>
  <si>
    <t>0.24</t>
  </si>
  <si>
    <t>0.98</t>
  </si>
  <si>
    <t>Unit Price</t>
  </si>
  <si>
    <t>Expected FDV</t>
  </si>
  <si>
    <t>Current Tier</t>
  </si>
  <si>
    <t>Purchase Tier</t>
  </si>
  <si>
    <t>Comulative Keys</t>
  </si>
  <si>
    <t>Year</t>
  </si>
  <si>
    <t>Total Rewards per Year</t>
  </si>
  <si>
    <t>Total Supply</t>
  </si>
  <si>
    <t>0.15</t>
  </si>
  <si>
    <t>0.17</t>
  </si>
  <si>
    <t>0.20</t>
  </si>
  <si>
    <t>0.22</t>
  </si>
  <si>
    <t>0.26</t>
  </si>
  <si>
    <t>0.27</t>
  </si>
  <si>
    <t>0.29</t>
  </si>
  <si>
    <t>0.31</t>
  </si>
  <si>
    <t>0.34</t>
  </si>
  <si>
    <t>0.36</t>
  </si>
  <si>
    <t>0.38</t>
  </si>
  <si>
    <t>0.41</t>
  </si>
  <si>
    <t>0.44</t>
  </si>
  <si>
    <t>0.47</t>
  </si>
  <si>
    <t>0.50</t>
  </si>
  <si>
    <t>0.54</t>
  </si>
  <si>
    <t>0.57</t>
  </si>
  <si>
    <t>0.61</t>
  </si>
  <si>
    <t>0.66</t>
  </si>
  <si>
    <t>0.70</t>
  </si>
  <si>
    <t>0.75</t>
  </si>
  <si>
    <t>0.80</t>
  </si>
  <si>
    <t>0.86</t>
  </si>
  <si>
    <t>0.92</t>
  </si>
  <si>
    <t>1.05</t>
  </si>
  <si>
    <t>1.12</t>
  </si>
  <si>
    <t>1.20</t>
  </si>
  <si>
    <t>1.28</t>
  </si>
  <si>
    <t>1.37</t>
  </si>
  <si>
    <t>1.46</t>
  </si>
  <si>
    <t>1.57</t>
  </si>
  <si>
    <t>1.67</t>
  </si>
  <si>
    <t>1.79</t>
  </si>
  <si>
    <t>1.91</t>
  </si>
  <si>
    <t>2.05</t>
  </si>
  <si>
    <t>2.19</t>
  </si>
  <si>
    <t>2.34</t>
  </si>
  <si>
    <t>2.50</t>
  </si>
  <si>
    <t>2.68</t>
  </si>
  <si>
    <t>2.86</t>
  </si>
  <si>
    <t>3.06</t>
  </si>
  <si>
    <t>3.27</t>
  </si>
  <si>
    <t>3.50</t>
  </si>
  <si>
    <t>3.74</t>
  </si>
  <si>
    <t>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</si>
</sst>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L6" sqref="L6"/>
    </sheetView>
  </sheetViews>
  <sheetFormatPr defaultRowHeight="15" x14ac:dyDescent="0.25"/>
  <cols>
    <col min="3" max="3" width="16.5703125" customWidth="1"/>
    <col min="4" max="4" width="16.5703125" bestFit="1" customWidth="1"/>
    <col min="6" max="6" width="15.42578125" bestFit="1" customWidth="1"/>
    <col min="7" max="7" width="16.7109375" customWidth="1"/>
    <col min="8" max="8" width="16.85546875" customWidth="1"/>
    <col min="9" max="9" width="17.5703125" customWidth="1"/>
    <col min="10" max="10" width="10.85546875" customWidth="1"/>
    <col min="11" max="11" width="13.28515625" customWidth="1"/>
    <col min="13" max="13" width="11.7109375" customWidth="1"/>
    <col min="14" max="14" width="22.42578125" customWidth="1"/>
    <col min="15" max="15" width="12.5703125" bestFit="1" customWidth="1"/>
  </cols>
  <sheetData>
    <row r="1" spans="1:14" x14ac:dyDescent="0.25">
      <c r="A1" s="2" t="s">
        <v>0</v>
      </c>
      <c r="B1" s="2" t="s">
        <v>1</v>
      </c>
      <c r="C1" s="2" t="s">
        <v>11</v>
      </c>
      <c r="D1" s="2" t="s">
        <v>7</v>
      </c>
      <c r="G1" s="2" t="s">
        <v>9</v>
      </c>
      <c r="H1" s="2" t="s">
        <v>10</v>
      </c>
      <c r="I1" s="2" t="s">
        <v>8</v>
      </c>
      <c r="K1" s="2" t="s">
        <v>14</v>
      </c>
      <c r="M1" s="2" t="s">
        <v>12</v>
      </c>
      <c r="N1" s="4" t="s">
        <v>13</v>
      </c>
    </row>
    <row r="2" spans="1:14" x14ac:dyDescent="0.25">
      <c r="A2" s="2">
        <v>1</v>
      </c>
      <c r="B2" s="2">
        <v>4000</v>
      </c>
      <c r="C2" s="2">
        <f>SUM($B$2:B2)</f>
        <v>4000</v>
      </c>
      <c r="D2" s="2" t="s">
        <v>15</v>
      </c>
      <c r="G2" s="2">
        <v>1</v>
      </c>
      <c r="H2" s="2">
        <v>1</v>
      </c>
      <c r="I2" s="3"/>
      <c r="J2">
        <f>I2/K$2</f>
        <v>0</v>
      </c>
      <c r="K2" s="3">
        <v>1000000000</v>
      </c>
      <c r="M2" s="2">
        <v>1</v>
      </c>
      <c r="N2" s="3">
        <v>100000000</v>
      </c>
    </row>
    <row r="3" spans="1:14" x14ac:dyDescent="0.25">
      <c r="A3" s="2">
        <v>2</v>
      </c>
      <c r="B3" s="2">
        <v>3685</v>
      </c>
      <c r="C3" s="2">
        <f>SUM($B$2:B3)</f>
        <v>7685</v>
      </c>
      <c r="D3" s="2" t="s">
        <v>2</v>
      </c>
      <c r="G3" s="2">
        <v>2</v>
      </c>
      <c r="H3" s="2">
        <v>2</v>
      </c>
      <c r="I3" s="3">
        <v>80000000</v>
      </c>
      <c r="J3">
        <f t="shared" ref="J3:J12" si="0">I3/K$2</f>
        <v>0.08</v>
      </c>
      <c r="M3" s="2">
        <v>2</v>
      </c>
      <c r="N3" s="3">
        <v>50000000</v>
      </c>
    </row>
    <row r="4" spans="1:14" x14ac:dyDescent="0.25">
      <c r="A4" s="2">
        <v>3</v>
      </c>
      <c r="B4" s="2">
        <v>3395</v>
      </c>
      <c r="C4" s="2">
        <f>SUM($B$2:B4)</f>
        <v>11080</v>
      </c>
      <c r="D4" s="2" t="s">
        <v>16</v>
      </c>
      <c r="G4" s="2">
        <v>3</v>
      </c>
      <c r="H4" s="2">
        <v>3</v>
      </c>
      <c r="I4" s="3">
        <v>250000000</v>
      </c>
      <c r="J4">
        <f t="shared" si="0"/>
        <v>0.25</v>
      </c>
      <c r="M4" s="2">
        <v>3</v>
      </c>
      <c r="N4" s="3">
        <v>25000000</v>
      </c>
    </row>
    <row r="5" spans="1:14" x14ac:dyDescent="0.25">
      <c r="A5" s="2">
        <v>4</v>
      </c>
      <c r="B5" s="2">
        <v>3128</v>
      </c>
      <c r="C5" s="2">
        <f>SUM($B$2:B5)</f>
        <v>14208</v>
      </c>
      <c r="D5" s="2" t="s">
        <v>3</v>
      </c>
      <c r="G5" s="2">
        <v>4</v>
      </c>
      <c r="H5" s="2">
        <v>4</v>
      </c>
      <c r="I5" s="3">
        <v>500000000</v>
      </c>
      <c r="J5">
        <f t="shared" si="0"/>
        <v>0.5</v>
      </c>
      <c r="M5" s="2">
        <v>4</v>
      </c>
      <c r="N5" s="3">
        <v>12500000</v>
      </c>
    </row>
    <row r="6" spans="1:14" x14ac:dyDescent="0.25">
      <c r="A6" s="2">
        <v>5</v>
      </c>
      <c r="B6" s="2">
        <v>2882</v>
      </c>
      <c r="C6" s="2">
        <f>SUM($B$2:B6)</f>
        <v>17090</v>
      </c>
      <c r="D6" s="2" t="s">
        <v>17</v>
      </c>
      <c r="G6" s="2">
        <v>5</v>
      </c>
      <c r="H6" s="2">
        <v>5</v>
      </c>
      <c r="I6" s="3">
        <v>750000000</v>
      </c>
      <c r="J6">
        <f t="shared" si="0"/>
        <v>0.75</v>
      </c>
      <c r="M6" s="2">
        <v>5</v>
      </c>
      <c r="N6" s="3">
        <v>12500000</v>
      </c>
    </row>
    <row r="7" spans="1:14" x14ac:dyDescent="0.25">
      <c r="A7" s="2">
        <v>6</v>
      </c>
      <c r="B7" s="2">
        <v>2655</v>
      </c>
      <c r="C7" s="2">
        <f>SUM($B$2:B7)</f>
        <v>19745</v>
      </c>
      <c r="D7" s="2" t="s">
        <v>4</v>
      </c>
      <c r="G7" s="2">
        <v>6</v>
      </c>
      <c r="H7" s="2">
        <v>6</v>
      </c>
      <c r="I7" s="3">
        <v>1000000000</v>
      </c>
      <c r="J7">
        <f t="shared" si="0"/>
        <v>1</v>
      </c>
    </row>
    <row r="8" spans="1:14" x14ac:dyDescent="0.25">
      <c r="A8" s="2">
        <v>7</v>
      </c>
      <c r="B8" s="2">
        <v>2447</v>
      </c>
      <c r="C8" s="2">
        <f>SUM($B$2:B8)</f>
        <v>22192</v>
      </c>
      <c r="D8" s="2" t="s">
        <v>18</v>
      </c>
      <c r="G8" s="2">
        <v>7</v>
      </c>
      <c r="H8" s="2">
        <v>7</v>
      </c>
      <c r="I8" s="3">
        <v>2000000000</v>
      </c>
      <c r="J8">
        <f t="shared" si="0"/>
        <v>2</v>
      </c>
    </row>
    <row r="9" spans="1:14" x14ac:dyDescent="0.25">
      <c r="A9" s="2">
        <v>8</v>
      </c>
      <c r="B9" s="2">
        <v>2254</v>
      </c>
      <c r="C9" s="2">
        <f>SUM($B$2:B9)</f>
        <v>24446</v>
      </c>
      <c r="D9" s="2" t="s">
        <v>5</v>
      </c>
      <c r="G9" s="2">
        <v>8</v>
      </c>
      <c r="H9" s="2">
        <v>8</v>
      </c>
      <c r="I9" s="3">
        <v>5000000000</v>
      </c>
      <c r="J9">
        <f t="shared" si="0"/>
        <v>5</v>
      </c>
    </row>
    <row r="10" spans="1:14" x14ac:dyDescent="0.25">
      <c r="A10" s="2">
        <v>9</v>
      </c>
      <c r="B10" s="2">
        <v>2077</v>
      </c>
      <c r="C10" s="2">
        <f>SUM($B$2:B10)</f>
        <v>26523</v>
      </c>
      <c r="D10" s="2" t="s">
        <v>19</v>
      </c>
      <c r="G10" s="2">
        <v>9</v>
      </c>
      <c r="H10" s="2">
        <v>9</v>
      </c>
      <c r="I10" s="3">
        <v>10000000000</v>
      </c>
      <c r="J10">
        <f t="shared" si="0"/>
        <v>10</v>
      </c>
    </row>
    <row r="11" spans="1:14" x14ac:dyDescent="0.25">
      <c r="A11" s="2">
        <v>10</v>
      </c>
      <c r="B11" s="2">
        <v>1913</v>
      </c>
      <c r="C11" s="2">
        <f>SUM($B$2:B11)</f>
        <v>28436</v>
      </c>
      <c r="D11" s="2" t="s">
        <v>20</v>
      </c>
      <c r="G11" s="2">
        <v>10</v>
      </c>
      <c r="H11" s="2">
        <v>10</v>
      </c>
      <c r="I11" s="3">
        <v>25000000000</v>
      </c>
      <c r="J11">
        <f>I11/K$2</f>
        <v>25</v>
      </c>
    </row>
    <row r="12" spans="1:14" x14ac:dyDescent="0.25">
      <c r="A12" s="2">
        <v>11</v>
      </c>
      <c r="B12" s="2">
        <v>1763</v>
      </c>
      <c r="C12" s="2">
        <f>SUM($B$2:B12)</f>
        <v>30199</v>
      </c>
      <c r="D12" s="2" t="s">
        <v>21</v>
      </c>
      <c r="G12" s="2">
        <v>11</v>
      </c>
      <c r="H12" s="2">
        <v>11</v>
      </c>
      <c r="I12" s="3">
        <v>50000000000</v>
      </c>
      <c r="J12">
        <f t="shared" si="0"/>
        <v>50</v>
      </c>
    </row>
    <row r="13" spans="1:14" x14ac:dyDescent="0.25">
      <c r="A13" s="2">
        <v>12</v>
      </c>
      <c r="B13" s="2">
        <v>1624</v>
      </c>
      <c r="C13" s="2">
        <f>SUM($B$2:B13)</f>
        <v>31823</v>
      </c>
      <c r="D13" s="2" t="s">
        <v>22</v>
      </c>
      <c r="F13" s="1"/>
      <c r="G13" s="2">
        <v>12</v>
      </c>
      <c r="H13" s="2">
        <v>12</v>
      </c>
    </row>
    <row r="14" spans="1:14" x14ac:dyDescent="0.25">
      <c r="A14" s="2">
        <v>13</v>
      </c>
      <c r="B14" s="2">
        <v>1496</v>
      </c>
      <c r="C14" s="2">
        <f>SUM($B$2:B14)</f>
        <v>33319</v>
      </c>
      <c r="D14" s="2" t="s">
        <v>23</v>
      </c>
      <c r="G14" s="2">
        <v>13</v>
      </c>
      <c r="H14" s="2">
        <v>13</v>
      </c>
    </row>
    <row r="15" spans="1:14" x14ac:dyDescent="0.25">
      <c r="A15" s="2">
        <v>14</v>
      </c>
      <c r="B15" s="2">
        <v>1379</v>
      </c>
      <c r="C15" s="2">
        <f>SUM($B$2:B15)</f>
        <v>34698</v>
      </c>
      <c r="D15" s="2" t="s">
        <v>24</v>
      </c>
      <c r="G15" s="2">
        <v>14</v>
      </c>
      <c r="H15" s="2">
        <v>14</v>
      </c>
    </row>
    <row r="16" spans="1:14" x14ac:dyDescent="0.25">
      <c r="A16" s="2">
        <v>15</v>
      </c>
      <c r="B16" s="2">
        <v>1270</v>
      </c>
      <c r="C16" s="2">
        <f>SUM($B$2:B16)</f>
        <v>35968</v>
      </c>
      <c r="D16" s="2" t="s">
        <v>25</v>
      </c>
      <c r="G16" s="2">
        <v>15</v>
      </c>
      <c r="H16" s="2">
        <v>15</v>
      </c>
    </row>
    <row r="17" spans="1:8" x14ac:dyDescent="0.25">
      <c r="A17" s="2">
        <v>16</v>
      </c>
      <c r="B17" s="2">
        <v>1170</v>
      </c>
      <c r="C17" s="2">
        <f>SUM($B$2:B17)</f>
        <v>37138</v>
      </c>
      <c r="D17" s="2" t="s">
        <v>26</v>
      </c>
      <c r="G17" s="2">
        <v>16</v>
      </c>
      <c r="H17" s="2">
        <v>16</v>
      </c>
    </row>
    <row r="18" spans="1:8" x14ac:dyDescent="0.25">
      <c r="A18" s="2">
        <v>17</v>
      </c>
      <c r="B18" s="2">
        <v>1078</v>
      </c>
      <c r="C18" s="2">
        <f>SUM($B$2:B18)</f>
        <v>38216</v>
      </c>
      <c r="D18" s="2" t="s">
        <v>27</v>
      </c>
      <c r="G18" s="2">
        <v>17</v>
      </c>
      <c r="H18" s="2">
        <v>17</v>
      </c>
    </row>
    <row r="19" spans="1:8" x14ac:dyDescent="0.25">
      <c r="A19" s="2">
        <v>18</v>
      </c>
      <c r="B19" s="2">
        <v>993</v>
      </c>
      <c r="C19" s="2">
        <f>SUM($B$2:B19)</f>
        <v>39209</v>
      </c>
      <c r="D19" s="2" t="s">
        <v>28</v>
      </c>
      <c r="G19" s="2">
        <v>18</v>
      </c>
      <c r="H19" s="2">
        <v>18</v>
      </c>
    </row>
    <row r="20" spans="1:8" x14ac:dyDescent="0.25">
      <c r="A20" s="2">
        <v>19</v>
      </c>
      <c r="B20" s="2">
        <v>915</v>
      </c>
      <c r="C20" s="2">
        <f>SUM($B$2:B20)</f>
        <v>40124</v>
      </c>
      <c r="D20" s="2" t="s">
        <v>29</v>
      </c>
      <c r="G20" s="2">
        <v>19</v>
      </c>
      <c r="H20" s="2">
        <v>19</v>
      </c>
    </row>
    <row r="21" spans="1:8" x14ac:dyDescent="0.25">
      <c r="A21" s="2">
        <v>20</v>
      </c>
      <c r="B21" s="2">
        <v>843</v>
      </c>
      <c r="C21" s="2">
        <f>SUM($B$2:B21)</f>
        <v>40967</v>
      </c>
      <c r="D21" s="2" t="s">
        <v>30</v>
      </c>
      <c r="G21" s="2">
        <v>20</v>
      </c>
      <c r="H21" s="2">
        <v>20</v>
      </c>
    </row>
    <row r="22" spans="1:8" x14ac:dyDescent="0.25">
      <c r="A22" s="2">
        <v>21</v>
      </c>
      <c r="B22" s="2">
        <v>777</v>
      </c>
      <c r="C22" s="2">
        <f>SUM($B$2:B22)</f>
        <v>41744</v>
      </c>
      <c r="D22" s="2" t="s">
        <v>31</v>
      </c>
      <c r="G22" s="2">
        <v>21</v>
      </c>
      <c r="H22" s="2">
        <v>21</v>
      </c>
    </row>
    <row r="23" spans="1:8" x14ac:dyDescent="0.25">
      <c r="A23" s="2">
        <v>22</v>
      </c>
      <c r="B23" s="2">
        <v>716</v>
      </c>
      <c r="C23" s="2">
        <f>SUM($B$2:B23)</f>
        <v>42460</v>
      </c>
      <c r="D23" s="2" t="s">
        <v>32</v>
      </c>
      <c r="G23" s="2">
        <v>22</v>
      </c>
      <c r="H23" s="2">
        <v>22</v>
      </c>
    </row>
    <row r="24" spans="1:8" x14ac:dyDescent="0.25">
      <c r="A24" s="2">
        <v>23</v>
      </c>
      <c r="B24" s="2">
        <v>659</v>
      </c>
      <c r="C24" s="2">
        <f>SUM($B$2:B24)</f>
        <v>43119</v>
      </c>
      <c r="D24" s="2" t="s">
        <v>33</v>
      </c>
      <c r="G24" s="2">
        <v>23</v>
      </c>
      <c r="H24" s="2">
        <v>23</v>
      </c>
    </row>
    <row r="25" spans="1:8" x14ac:dyDescent="0.25">
      <c r="A25" s="2">
        <v>24</v>
      </c>
      <c r="B25" s="2">
        <v>608</v>
      </c>
      <c r="C25" s="2">
        <f>SUM($B$2:B25)</f>
        <v>43727</v>
      </c>
      <c r="D25" s="2" t="s">
        <v>34</v>
      </c>
      <c r="G25" s="2">
        <v>24</v>
      </c>
      <c r="H25" s="2">
        <v>24</v>
      </c>
    </row>
    <row r="26" spans="1:8" x14ac:dyDescent="0.25">
      <c r="A26" s="2">
        <v>25</v>
      </c>
      <c r="B26" s="2">
        <v>560</v>
      </c>
      <c r="C26" s="2">
        <f>SUM($B$2:B26)</f>
        <v>44287</v>
      </c>
      <c r="D26" s="2" t="s">
        <v>35</v>
      </c>
      <c r="G26" s="2">
        <v>25</v>
      </c>
      <c r="H26" s="2">
        <v>25</v>
      </c>
    </row>
    <row r="27" spans="1:8" x14ac:dyDescent="0.25">
      <c r="A27" s="2">
        <v>26</v>
      </c>
      <c r="B27" s="2">
        <v>516</v>
      </c>
      <c r="C27" s="2">
        <f>SUM($B$2:B27)</f>
        <v>44803</v>
      </c>
      <c r="D27" s="2" t="s">
        <v>36</v>
      </c>
      <c r="G27" s="2">
        <v>26</v>
      </c>
      <c r="H27" s="2">
        <v>26</v>
      </c>
    </row>
    <row r="28" spans="1:8" x14ac:dyDescent="0.25">
      <c r="A28" s="2">
        <v>27</v>
      </c>
      <c r="B28" s="2">
        <v>475</v>
      </c>
      <c r="C28" s="2">
        <f>SUM($B$2:B28)</f>
        <v>45278</v>
      </c>
      <c r="D28" s="2" t="s">
        <v>37</v>
      </c>
      <c r="G28" s="2">
        <v>27</v>
      </c>
      <c r="H28" s="2">
        <v>27</v>
      </c>
    </row>
    <row r="29" spans="1:8" x14ac:dyDescent="0.25">
      <c r="A29" s="2">
        <v>28</v>
      </c>
      <c r="B29" s="2">
        <v>438</v>
      </c>
      <c r="C29" s="2">
        <f>SUM($B$2:B29)</f>
        <v>45716</v>
      </c>
      <c r="D29" s="2" t="s">
        <v>38</v>
      </c>
      <c r="G29" s="2">
        <v>28</v>
      </c>
      <c r="H29" s="2">
        <v>28</v>
      </c>
    </row>
    <row r="30" spans="1:8" x14ac:dyDescent="0.25">
      <c r="A30" s="2">
        <v>29</v>
      </c>
      <c r="B30" s="2">
        <v>403</v>
      </c>
      <c r="C30" s="2">
        <f>SUM($B$2:B30)</f>
        <v>46119</v>
      </c>
      <c r="D30" s="2" t="s">
        <v>6</v>
      </c>
      <c r="G30" s="2">
        <v>29</v>
      </c>
      <c r="H30" s="2">
        <v>29</v>
      </c>
    </row>
    <row r="31" spans="1:8" x14ac:dyDescent="0.25">
      <c r="A31" s="2">
        <v>30</v>
      </c>
      <c r="B31" s="2">
        <v>372</v>
      </c>
      <c r="C31" s="2">
        <f>SUM($B$2:B31)</f>
        <v>46491</v>
      </c>
      <c r="D31" s="2" t="s">
        <v>39</v>
      </c>
      <c r="G31" s="2">
        <v>30</v>
      </c>
      <c r="H31" s="2">
        <v>30</v>
      </c>
    </row>
    <row r="32" spans="1:8" x14ac:dyDescent="0.25">
      <c r="A32" s="2">
        <v>31</v>
      </c>
      <c r="B32" s="2">
        <v>342</v>
      </c>
      <c r="C32" s="2">
        <f>SUM($B$2:B32)</f>
        <v>46833</v>
      </c>
      <c r="D32" s="2" t="s">
        <v>40</v>
      </c>
      <c r="G32" s="2">
        <v>31</v>
      </c>
      <c r="H32" s="2">
        <v>31</v>
      </c>
    </row>
    <row r="33" spans="1:8" x14ac:dyDescent="0.25">
      <c r="A33" s="2">
        <v>32</v>
      </c>
      <c r="B33" s="2">
        <v>315</v>
      </c>
      <c r="C33" s="2">
        <f>SUM($B$2:B33)</f>
        <v>47148</v>
      </c>
      <c r="D33" s="2" t="s">
        <v>41</v>
      </c>
      <c r="G33" s="2">
        <v>32</v>
      </c>
      <c r="H33" s="2">
        <v>32</v>
      </c>
    </row>
    <row r="34" spans="1:8" x14ac:dyDescent="0.25">
      <c r="A34" s="2">
        <v>33</v>
      </c>
      <c r="B34" s="2">
        <v>291</v>
      </c>
      <c r="C34" s="2">
        <f>SUM($B$2:B34)</f>
        <v>47439</v>
      </c>
      <c r="D34" s="2" t="s">
        <v>42</v>
      </c>
      <c r="G34" s="2">
        <v>33</v>
      </c>
      <c r="H34" s="2">
        <v>33</v>
      </c>
    </row>
    <row r="35" spans="1:8" x14ac:dyDescent="0.25">
      <c r="A35" s="2">
        <v>34</v>
      </c>
      <c r="B35" s="2">
        <v>268</v>
      </c>
      <c r="C35" s="2">
        <f>SUM($B$2:B35)</f>
        <v>47707</v>
      </c>
      <c r="D35" s="2" t="s">
        <v>43</v>
      </c>
      <c r="G35" s="2">
        <v>34</v>
      </c>
      <c r="H35" s="2">
        <v>34</v>
      </c>
    </row>
    <row r="36" spans="1:8" x14ac:dyDescent="0.25">
      <c r="A36" s="2">
        <v>35</v>
      </c>
      <c r="B36" s="2">
        <v>247</v>
      </c>
      <c r="C36" s="2">
        <f>SUM($B$2:B36)</f>
        <v>47954</v>
      </c>
      <c r="D36" s="2" t="s">
        <v>44</v>
      </c>
      <c r="G36" s="2">
        <v>35</v>
      </c>
      <c r="H36" s="2">
        <v>35</v>
      </c>
    </row>
    <row r="37" spans="1:8" x14ac:dyDescent="0.25">
      <c r="A37" s="2">
        <v>36</v>
      </c>
      <c r="B37" s="2">
        <v>227</v>
      </c>
      <c r="C37" s="2">
        <f>SUM($B$2:B37)</f>
        <v>48181</v>
      </c>
      <c r="D37" s="2" t="s">
        <v>45</v>
      </c>
      <c r="G37" s="2">
        <v>36</v>
      </c>
      <c r="H37" s="2">
        <v>36</v>
      </c>
    </row>
    <row r="38" spans="1:8" x14ac:dyDescent="0.25">
      <c r="A38" s="2">
        <v>37</v>
      </c>
      <c r="B38" s="2">
        <v>209</v>
      </c>
      <c r="C38" s="2">
        <f>SUM($B$2:B38)</f>
        <v>48390</v>
      </c>
      <c r="D38" s="2" t="s">
        <v>46</v>
      </c>
      <c r="G38" s="2">
        <v>37</v>
      </c>
      <c r="H38" s="2">
        <v>37</v>
      </c>
    </row>
    <row r="39" spans="1:8" x14ac:dyDescent="0.25">
      <c r="A39" s="2">
        <v>38</v>
      </c>
      <c r="B39" s="2">
        <v>193</v>
      </c>
      <c r="C39" s="2">
        <f>SUM($B$2:B39)</f>
        <v>48583</v>
      </c>
      <c r="D39" s="2" t="s">
        <v>47</v>
      </c>
      <c r="G39" s="2">
        <v>38</v>
      </c>
      <c r="H39" s="2">
        <v>38</v>
      </c>
    </row>
    <row r="40" spans="1:8" x14ac:dyDescent="0.25">
      <c r="A40" s="2">
        <v>39</v>
      </c>
      <c r="B40" s="2">
        <v>178</v>
      </c>
      <c r="C40" s="2">
        <f>SUM($B$2:B40)</f>
        <v>48761</v>
      </c>
      <c r="D40" s="2" t="s">
        <v>48</v>
      </c>
      <c r="G40" s="2">
        <v>39</v>
      </c>
      <c r="H40" s="2">
        <v>39</v>
      </c>
    </row>
    <row r="41" spans="1:8" x14ac:dyDescent="0.25">
      <c r="A41" s="2">
        <v>40</v>
      </c>
      <c r="B41" s="2">
        <v>164</v>
      </c>
      <c r="C41" s="2">
        <f>SUM($B$2:B41)</f>
        <v>48925</v>
      </c>
      <c r="D41" s="2" t="s">
        <v>49</v>
      </c>
      <c r="G41" s="2">
        <v>40</v>
      </c>
      <c r="H41" s="2">
        <v>40</v>
      </c>
    </row>
    <row r="42" spans="1:8" x14ac:dyDescent="0.25">
      <c r="A42" s="2">
        <v>41</v>
      </c>
      <c r="B42" s="2">
        <v>151</v>
      </c>
      <c r="C42" s="2">
        <f>SUM($B$2:B42)</f>
        <v>49076</v>
      </c>
      <c r="D42" s="2" t="s">
        <v>50</v>
      </c>
      <c r="G42" s="2">
        <v>41</v>
      </c>
      <c r="H42" s="2">
        <v>41</v>
      </c>
    </row>
    <row r="43" spans="1:8" x14ac:dyDescent="0.25">
      <c r="A43" s="2">
        <v>42</v>
      </c>
      <c r="B43" s="2">
        <v>139</v>
      </c>
      <c r="C43" s="2">
        <f>SUM($B$2:B43)</f>
        <v>49215</v>
      </c>
      <c r="D43" s="2" t="s">
        <v>51</v>
      </c>
      <c r="G43" s="2">
        <v>42</v>
      </c>
      <c r="H43" s="2">
        <v>42</v>
      </c>
    </row>
    <row r="44" spans="1:8" x14ac:dyDescent="0.25">
      <c r="A44" s="2">
        <v>43</v>
      </c>
      <c r="B44" s="2">
        <v>128</v>
      </c>
      <c r="C44" s="2">
        <f>SUM($B$2:B44)</f>
        <v>49343</v>
      </c>
      <c r="D44" s="2" t="s">
        <v>52</v>
      </c>
      <c r="G44" s="2">
        <v>43</v>
      </c>
      <c r="H44" s="2">
        <v>43</v>
      </c>
    </row>
    <row r="45" spans="1:8" x14ac:dyDescent="0.25">
      <c r="A45" s="2">
        <v>44</v>
      </c>
      <c r="B45" s="2">
        <v>118</v>
      </c>
      <c r="C45" s="2">
        <f>SUM($B$2:B45)</f>
        <v>49461</v>
      </c>
      <c r="D45" s="2" t="s">
        <v>53</v>
      </c>
      <c r="G45" s="2">
        <v>44</v>
      </c>
      <c r="H45" s="2">
        <v>44</v>
      </c>
    </row>
    <row r="46" spans="1:8" x14ac:dyDescent="0.25">
      <c r="A46" s="2">
        <v>45</v>
      </c>
      <c r="B46" s="2">
        <v>109</v>
      </c>
      <c r="C46" s="2">
        <f>SUM($B$2:B46)</f>
        <v>49570</v>
      </c>
      <c r="D46" s="2" t="s">
        <v>54</v>
      </c>
      <c r="G46" s="2">
        <v>45</v>
      </c>
      <c r="H46" s="2">
        <v>45</v>
      </c>
    </row>
    <row r="47" spans="1:8" x14ac:dyDescent="0.25">
      <c r="A47" s="2">
        <v>46</v>
      </c>
      <c r="B47" s="2">
        <v>100</v>
      </c>
      <c r="C47" s="2">
        <f>SUM($B$2:B47)</f>
        <v>49670</v>
      </c>
      <c r="D47" s="2" t="s">
        <v>55</v>
      </c>
      <c r="G47" s="2">
        <v>46</v>
      </c>
      <c r="H47" s="2">
        <v>46</v>
      </c>
    </row>
    <row r="48" spans="1:8" x14ac:dyDescent="0.25">
      <c r="A48" s="2">
        <v>47</v>
      </c>
      <c r="B48" s="2">
        <v>92</v>
      </c>
      <c r="C48" s="2">
        <f>SUM($B$2:B48)</f>
        <v>49762</v>
      </c>
      <c r="D48" s="2" t="s">
        <v>56</v>
      </c>
      <c r="G48" s="2">
        <v>47</v>
      </c>
      <c r="H48" s="2">
        <v>47</v>
      </c>
    </row>
    <row r="49" spans="1:8" x14ac:dyDescent="0.25">
      <c r="A49" s="2">
        <v>48</v>
      </c>
      <c r="B49" s="2">
        <v>86</v>
      </c>
      <c r="C49" s="2">
        <f>SUM($B$2:B49)</f>
        <v>49848</v>
      </c>
      <c r="D49" s="2" t="s">
        <v>57</v>
      </c>
      <c r="G49" s="2">
        <v>48</v>
      </c>
      <c r="H49" s="2">
        <v>48</v>
      </c>
    </row>
    <row r="50" spans="1:8" x14ac:dyDescent="0.25">
      <c r="A50" s="2">
        <v>49</v>
      </c>
      <c r="B50" s="2">
        <v>79</v>
      </c>
      <c r="C50" s="2">
        <f>SUM($B$2:B50)</f>
        <v>49927</v>
      </c>
      <c r="D50" s="2" t="s">
        <v>58</v>
      </c>
      <c r="G50" s="2">
        <v>49</v>
      </c>
      <c r="H50" s="2">
        <v>49</v>
      </c>
    </row>
    <row r="51" spans="1:8" x14ac:dyDescent="0.25">
      <c r="A51" s="2">
        <v>50</v>
      </c>
      <c r="B51" s="2">
        <v>73</v>
      </c>
      <c r="C51" s="2">
        <f>SUM($B$2:B51)</f>
        <v>50000</v>
      </c>
      <c r="D51" s="2" t="s">
        <v>59</v>
      </c>
      <c r="G51" s="2">
        <v>50</v>
      </c>
      <c r="H51" s="2">
        <v>50</v>
      </c>
    </row>
  </sheetData>
  <phoneticPr fontId="1" type="noConversion"/>
  <pageMargins left="0.7" right="0.7" top="0.75" bottom="0.75" header="0.3" footer="0.3"/>
  <pageSetup orientation="portrait" r:id="rId1"/>
  <ignoredErrors>
    <ignoredError sqref="C3:C4 C5:C15 C16:C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Domas Golyšenko</dc:creator>
  <cp:lastModifiedBy>Dominykas Golyšenko</cp:lastModifiedBy>
  <dcterms:created xsi:type="dcterms:W3CDTF">2015-06-05T18:17:20Z</dcterms:created>
  <dcterms:modified xsi:type="dcterms:W3CDTF">2024-11-20T12:46:24Z</dcterms:modified>
</cp:coreProperties>
</file>